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of tables " sheetId="1" r:id="rId4"/>
    <sheet state="visible" name="sector" sheetId="2" r:id="rId5"/>
    <sheet state="visible" name="industry" sheetId="3" r:id="rId6"/>
    <sheet state="visible" name="company" sheetId="4" r:id="rId7"/>
    <sheet state="visible" name="stock" sheetId="5" r:id="rId8"/>
    <sheet state="visible" name="user" sheetId="6" r:id="rId9"/>
    <sheet state="visible" name="contract" sheetId="7" r:id="rId10"/>
    <sheet state="visible" name="ekyc" sheetId="8" r:id="rId11"/>
    <sheet state="visible" name="nfc" sheetId="9" r:id="rId12"/>
    <sheet state="visible" name="package" sheetId="10" r:id="rId13"/>
    <sheet state="visible" name="leader_package" sheetId="11" r:id="rId14"/>
    <sheet state="visible" name="subscription" sheetId="12" r:id="rId15"/>
    <sheet state="visible" name="advisory" sheetId="13" r:id="rId16"/>
    <sheet state="visible" name="financial_metric" sheetId="14" r:id="rId17"/>
    <sheet state="visible" name="watch_list" sheetId="15" r:id="rId18"/>
    <sheet state="visible" name="news_source" sheetId="16" r:id="rId19"/>
    <sheet state="visible" name="news_article" sheetId="17" r:id="rId20"/>
    <sheet state="visible" name="follower_query" sheetId="18" r:id="rId21"/>
    <sheet state="visible" name="afl" sheetId="19" r:id="rId22"/>
    <sheet state="visible" name="trade_setting" sheetId="20" r:id="rId23"/>
    <sheet state="visible" name="trade_statistic" sheetId="21" r:id="rId24"/>
    <sheet state="visible" name="trade_entry" sheetId="22" r:id="rId25"/>
    <sheet state="visible" name="trade_signal" sheetId="23" r:id="rId26"/>
    <sheet state="visible" name="order" sheetId="24" r:id="rId27"/>
    <sheet state="visible" name="follower_fee" sheetId="25" r:id="rId28"/>
    <sheet state="visible" name="leader_fee" sheetId="26" r:id="rId29"/>
    <sheet state="visible" name="payment_method" sheetId="27" r:id="rId30"/>
    <sheet state="visible" name="user_payment_method" sheetId="28" r:id="rId31"/>
    <sheet state="visible" name="payment" sheetId="29" r:id="rId32"/>
    <sheet state="visible" name="security_company" sheetId="30" r:id="rId33"/>
    <sheet state="visible" name="endpoint" sheetId="31" r:id="rId34"/>
    <sheet state="visible" name="api" sheetId="32" r:id="rId35"/>
    <sheet state="visible" name="api_parameter" sheetId="33" r:id="rId36"/>
    <sheet state="visible" name="api_response" sheetId="34" r:id="rId37"/>
    <sheet state="visible" name="api_error" sheetId="35" r:id="rId38"/>
    <sheet state="visible" name="user_auth" sheetId="36" r:id="rId39"/>
    <sheet state="visible" name="api_log" sheetId="37" r:id="rId40"/>
    <sheet state="visible" name="comment" sheetId="38" r:id="rId41"/>
  </sheets>
  <definedNames/>
  <calcPr/>
</workbook>
</file>

<file path=xl/sharedStrings.xml><?xml version="1.0" encoding="utf-8"?>
<sst xmlns="http://schemas.openxmlformats.org/spreadsheetml/2006/main" count="1385" uniqueCount="654">
  <si>
    <t>No</t>
  </si>
  <si>
    <t>Screen name</t>
  </si>
  <si>
    <t>Sheet link</t>
  </si>
  <si>
    <t>Cách thu thập thông tin</t>
  </si>
  <si>
    <t>sector</t>
  </si>
  <si>
    <t>Nhập liệu</t>
  </si>
  <si>
    <t>industry</t>
  </si>
  <si>
    <t>company</t>
  </si>
  <si>
    <t>stock</t>
  </si>
  <si>
    <t>user</t>
  </si>
  <si>
    <t>contract</t>
  </si>
  <si>
    <t>ekyc</t>
  </si>
  <si>
    <t>nfc</t>
  </si>
  <si>
    <t>package</t>
  </si>
  <si>
    <t>leader_package</t>
  </si>
  <si>
    <t>subscription</t>
  </si>
  <si>
    <t>advisory</t>
  </si>
  <si>
    <t>financial_metric</t>
  </si>
  <si>
    <t>watch_list</t>
  </si>
  <si>
    <t>new_source</t>
  </si>
  <si>
    <t>news_source</t>
  </si>
  <si>
    <t>new_article</t>
  </si>
  <si>
    <t>news_article</t>
  </si>
  <si>
    <t>follower_query</t>
  </si>
  <si>
    <t>Hệ thống sinh tự động</t>
  </si>
  <si>
    <t>afl</t>
  </si>
  <si>
    <t>trade_setting</t>
  </si>
  <si>
    <t>trade_statistic</t>
  </si>
  <si>
    <t>trade_entry</t>
  </si>
  <si>
    <t>trade_signal</t>
  </si>
  <si>
    <t>order</t>
  </si>
  <si>
    <t>follower_fee</t>
  </si>
  <si>
    <t>leader_fee</t>
  </si>
  <si>
    <t>payment_method</t>
  </si>
  <si>
    <t>user_payment_method</t>
  </si>
  <si>
    <t>payment</t>
  </si>
  <si>
    <t>security_company</t>
  </si>
  <si>
    <t>endpoint</t>
  </si>
  <si>
    <t>api</t>
  </si>
  <si>
    <t>api_parameter</t>
  </si>
  <si>
    <t>api_response</t>
  </si>
  <si>
    <t>api_error</t>
  </si>
  <si>
    <t>user_auth</t>
  </si>
  <si>
    <t>api_log</t>
  </si>
  <si>
    <t>comment</t>
  </si>
  <si>
    <t>Description</t>
  </si>
  <si>
    <t>Field Name</t>
  </si>
  <si>
    <t>Data Type</t>
  </si>
  <si>
    <t>SQLs</t>
  </si>
  <si>
    <t>INSERT INTO system_parameters.business_tables (table_name, table_label, description) VALUES ('sector', 'sector', 'sector')</t>
  </si>
  <si>
    <t>sector_id</t>
  </si>
  <si>
    <t>SERIAL</t>
  </si>
  <si>
    <t>Tên nghành</t>
  </si>
  <si>
    <t>sector name</t>
  </si>
  <si>
    <t>VARCHAR(255)</t>
  </si>
  <si>
    <t>INSERT INTO system_parameters.business_tables (table_name, table_label, description) VALUES ('industry', 'industry', 'industry')</t>
  </si>
  <si>
    <t>industry id</t>
  </si>
  <si>
    <t>Tên nghành cụ thể</t>
  </si>
  <si>
    <t>industry name</t>
  </si>
  <si>
    <t>INSERT INTO system_parameters.business_tables (table_name, table_label, description) VALUES ('company', 'company', 'company')</t>
  </si>
  <si>
    <t>company id</t>
  </si>
  <si>
    <t>Tên tổ chức phát hành</t>
  </si>
  <si>
    <t>company name</t>
  </si>
  <si>
    <t>Quốc gia</t>
  </si>
  <si>
    <t>country</t>
  </si>
  <si>
    <t>VARCHAR(100)</t>
  </si>
  <si>
    <t>INSERT INTO system_parameters.business_tables (table_name, table_label, description) VALUES ('stock', 'stock', 'stock')</t>
  </si>
  <si>
    <t>stock_id</t>
  </si>
  <si>
    <t>Mã chứng khoán</t>
  </si>
  <si>
    <t>ticker</t>
  </si>
  <si>
    <t>VARCHAR(10)</t>
  </si>
  <si>
    <t>Tên công ty</t>
  </si>
  <si>
    <t>company_id</t>
  </si>
  <si>
    <t>Ngày niêm yết</t>
  </si>
  <si>
    <t>listing_date</t>
  </si>
  <si>
    <t>DATE</t>
  </si>
  <si>
    <t>Cổ phiếu lưu hành</t>
  </si>
  <si>
    <t>outstanding_shares</t>
  </si>
  <si>
    <t>BIGINT</t>
  </si>
  <si>
    <t>Sàn niêm yết</t>
  </si>
  <si>
    <t>exchange</t>
  </si>
  <si>
    <t>VARCHAR(50)</t>
  </si>
  <si>
    <t>INSERT INTO system_parameters.business_tables (table_name, table_label, description) VALUES ('user', 'user', 'user');</t>
  </si>
  <si>
    <t>user_id</t>
  </si>
  <si>
    <t>Loại người dùng</t>
  </si>
  <si>
    <t>user_type</t>
  </si>
  <si>
    <t>VARCHAR(20)</t>
  </si>
  <si>
    <t>Kinh nghiệm của leader</t>
  </si>
  <si>
    <t>experience</t>
  </si>
  <si>
    <t>TEXT</t>
  </si>
  <si>
    <t>Chiến lược đầu tư leader</t>
  </si>
  <si>
    <t>investment_strategy</t>
  </si>
  <si>
    <t>Quy mô vốn đầu tư leader</t>
  </si>
  <si>
    <t>capital_scale</t>
  </si>
  <si>
    <t>NUMERIC(15, 2)</t>
  </si>
  <si>
    <t>Cam kết đạo đức nghề nghiệp leader</t>
  </si>
  <si>
    <t>ethical_commitment</t>
  </si>
  <si>
    <t>Đánh giá độ rủi ro của follower</t>
  </si>
  <si>
    <t>risk_profile</t>
  </si>
  <si>
    <t>Ngân sách đầu tư follower</t>
  </si>
  <si>
    <t>investment_budget</t>
  </si>
  <si>
    <t>Số phí còn nợ</t>
  </si>
  <si>
    <t>unpaid_fee</t>
  </si>
  <si>
    <t>NUMERIC(15, 0)</t>
  </si>
  <si>
    <t>Trạng thái tài khoản(0: bình thường, 1: nhóm nợ 30 ngày, 2: nhóm nợ 90 ngày, 3: nhóm nợ 180 ngày</t>
  </si>
  <si>
    <t>status</t>
  </si>
  <si>
    <t>INT</t>
  </si>
  <si>
    <t>INSERT INTO system_parameters.business_tables (table_name, table_label, description) VALUES ('contract', 'contract', 'contract')</t>
  </si>
  <si>
    <t>contract_id</t>
  </si>
  <si>
    <t>Số hợp đồng.</t>
  </si>
  <si>
    <t>contract_number</t>
  </si>
  <si>
    <t>Tên Leader/Follower</t>
  </si>
  <si>
    <t>Tên hợp đồng.</t>
  </si>
  <si>
    <t>contract_title</t>
  </si>
  <si>
    <t>Nội dung hợp đồng.</t>
  </si>
  <si>
    <t>contract_body</t>
  </si>
  <si>
    <t>Trạng thái (VD: Draft, Signed, Cancelled).</t>
  </si>
  <si>
    <t>Ngày tạo hợp đồng.</t>
  </si>
  <si>
    <t>created_at</t>
  </si>
  <si>
    <t>TIMESTAMP</t>
  </si>
  <si>
    <t>Ngày ký hợp đồng.</t>
  </si>
  <si>
    <t>signed_at</t>
  </si>
  <si>
    <t>Dữ liệu chữ ký số (VD: public key, hash).</t>
  </si>
  <si>
    <t>signature_data</t>
  </si>
  <si>
    <t>JSONB</t>
  </si>
  <si>
    <t>Loại hợp đồng (0: leader; 1: follower)</t>
  </si>
  <si>
    <t>type</t>
  </si>
  <si>
    <t>INSERT INTO system_parameters.business_tables (table_name, table_label, description) VALUES ('ekyc', 'ekyc', 'ekyc')</t>
  </si>
  <si>
    <t>ekyc_id</t>
  </si>
  <si>
    <t>Loại eKYC (VD: OCR, NFC, Face Match).</t>
  </si>
  <si>
    <t>verification_type</t>
  </si>
  <si>
    <t>Trạng thái xác minh (VD: Success, Failed).</t>
  </si>
  <si>
    <t>Dữ liệu chi tiết (VD: ảnh khuôn mặt, thông tin CCCD).</t>
  </si>
  <si>
    <t>verification_data</t>
  </si>
  <si>
    <t>Ngày bắt đầu eKYC.</t>
  </si>
  <si>
    <t>Ngày hoàn tất eKYC.</t>
  </si>
  <si>
    <t>completed_at</t>
  </si>
  <si>
    <t>INSERT INTO system_parameters.business_tables (table_name, table_label, description) VALUES ('nfc', 'nfc', 'nfc')</t>
  </si>
  <si>
    <t>nfc_id</t>
  </si>
  <si>
    <t>Số căn cước công dân.</t>
  </si>
  <si>
    <t>cccd_number</t>
  </si>
  <si>
    <t>Ngày cấp.</t>
  </si>
  <si>
    <t>issue_date</t>
  </si>
  <si>
    <t>Ngày hết hạn.</t>
  </si>
  <si>
    <t>expiry_date</t>
  </si>
  <si>
    <t>Nơi cấp.</t>
  </si>
  <si>
    <t>place_of_issue</t>
  </si>
  <si>
    <t>VARCHAR(150)</t>
  </si>
  <si>
    <t>Thông tin cá nhân (VD: ảnh, chữ ký).</t>
  </si>
  <si>
    <t>personal_data</t>
  </si>
  <si>
    <t>Ngày lưu thông tin NFC.</t>
  </si>
  <si>
    <t>INSERT INTO system_parameters.business_tables (table_name, table_label, description) VALUES ('package', 'package', 'package')</t>
  </si>
  <si>
    <t>ID duy nhất của gói dịch vụ.</t>
  </si>
  <si>
    <t>package_id</t>
  </si>
  <si>
    <t>Tên gói dịch vụ.</t>
  </si>
  <si>
    <t>name</t>
  </si>
  <si>
    <t>Mô tả chi tiết gói dịch vụ.</t>
  </si>
  <si>
    <t>description</t>
  </si>
  <si>
    <t>Trạng thái gói (VD: Active, Inactive).</t>
  </si>
  <si>
    <t>Thời gian tạo gói dịch vụ.</t>
  </si>
  <si>
    <t>Thời gian cập nhật lần cuối.</t>
  </si>
  <si>
    <t>updated_at</t>
  </si>
  <si>
    <t>Tên bảng chứa thông tin của leader (advisory, financial_metric, watch_list, new_article, trade_signal)</t>
  </si>
  <si>
    <t>table_name</t>
  </si>
  <si>
    <t>INSERT INTO system_parameters.business_tables (table_name, table_label, description) VALUES ('leader_package', 'leader_package', 'leader_package')</t>
  </si>
  <si>
    <t>ID của gói dữ liệu</t>
  </si>
  <si>
    <t>leader_package_id</t>
  </si>
  <si>
    <t>Phí khai thác hàng tháng (VNĐ)</t>
  </si>
  <si>
    <t>monthly_fee</t>
  </si>
  <si>
    <t>NUMERIC(15, 2) NOT NULL</t>
  </si>
  <si>
    <t>Thông tin gói leader tham gia</t>
  </si>
  <si>
    <t>Phí truy vấn trên mỗi bản ghi (%)</t>
  </si>
  <si>
    <t>record_fee_rate</t>
  </si>
  <si>
    <t>NUMERIC(5, 2) DEFAULT 0.00</t>
  </si>
  <si>
    <t>Thời gian tạo</t>
  </si>
  <si>
    <t>TIMESTAMP DEFAULT NOW()</t>
  </si>
  <si>
    <t>Tên Leader</t>
  </si>
  <si>
    <t>Phí giao dịch (%)</t>
  </si>
  <si>
    <t>trade_fee_rate</t>
  </si>
  <si>
    <t>INSERT INTO system_parameters.business_tables (table_name, table_label, description) VALUES ('subscription', 'subscription', 'subscription')</t>
  </si>
  <si>
    <t>ID duy nhất của đăng ký.</t>
  </si>
  <si>
    <t>subscription_id</t>
  </si>
  <si>
    <t>Ngày bắt đầu sử dụng dịch vụ.</t>
  </si>
  <si>
    <t>start_date</t>
  </si>
  <si>
    <t>Ngày kết thúc dịch vụ.</t>
  </si>
  <si>
    <t>end_date</t>
  </si>
  <si>
    <t>Trạng thái (VD: Active, Expired, Cancelled).</t>
  </si>
  <si>
    <t>Thời gian tạo đăng ký.</t>
  </si>
  <si>
    <t>Thời gian cập nhật thông tin.</t>
  </si>
  <si>
    <t>Tên Follower</t>
  </si>
  <si>
    <t>Tên gói Leader</t>
  </si>
  <si>
    <t>INSERT INTO system_parameters.business_tables (table_name, table_label, description) VALUES ('advisory', 'advisory', 'advisory')</t>
  </si>
  <si>
    <t>advice_id</t>
  </si>
  <si>
    <t>Ngày lập thông tin tư vấn</t>
  </si>
  <si>
    <t>advice_date</t>
  </si>
  <si>
    <t>Mã chứng khoán tư vấn</t>
  </si>
  <si>
    <t>Nội dung tư vấn</t>
  </si>
  <si>
    <t>advice_content</t>
  </si>
  <si>
    <t xml:space="preserve">Cách thu thập thông tin </t>
  </si>
  <si>
    <t>INSERT INTO system_parameters.business_tables (table_name, table_label, description) VALUES ('financial_metric', 'financial_metric', 'financial_metric')</t>
  </si>
  <si>
    <t>metric_id</t>
  </si>
  <si>
    <t>Ngày lập thống kê</t>
  </si>
  <si>
    <t>metric_date</t>
  </si>
  <si>
    <t>ESP quý hiện tại</t>
  </si>
  <si>
    <t>current_earning</t>
  </si>
  <si>
    <t>NUMERIC(10, 2)</t>
  </si>
  <si>
    <t>thu thập số liệu từ báo cáo tài chính trên 2 sở hoặc từ các website</t>
  </si>
  <si>
    <t>ESP năm gần nhất</t>
  </si>
  <si>
    <t>annual_earning</t>
  </si>
  <si>
    <t>Yếu tố mới</t>
  </si>
  <si>
    <t>new_factor</t>
  </si>
  <si>
    <t>nghiên cứu báo cáo tài chính, lựa chọn yếu tổ mới như dự án , sản phẩm mới</t>
  </si>
  <si>
    <t>Cung cầu</t>
  </si>
  <si>
    <t>supply_demand</t>
  </si>
  <si>
    <t>cung cầu trung bình của thị trường thông qua sma(v) để biết biến động, hay rsi(v)</t>
  </si>
  <si>
    <t>Mã đầu nghành</t>
  </si>
  <si>
    <t>leader_or_laggard</t>
  </si>
  <si>
    <t>mã này có phải mã đứng đầu trong nghành hay không</t>
  </si>
  <si>
    <t>Tổ chức quan tâm</t>
  </si>
  <si>
    <t>institutional</t>
  </si>
  <si>
    <t>tổng hợp từ các quỹ đầu tư</t>
  </si>
  <si>
    <t>Xu hướng thị trường hiện tại</t>
  </si>
  <si>
    <t>market_direction</t>
  </si>
  <si>
    <t>thị trường đang ở vùng nào</t>
  </si>
  <si>
    <t>current_quarter_eps</t>
  </si>
  <si>
    <t>previous_quarter_eps</t>
  </si>
  <si>
    <t>quarter_eps_growth</t>
  </si>
  <si>
    <t>NUMERIC(5, 2)</t>
  </si>
  <si>
    <t>current_quarter_revenue</t>
  </si>
  <si>
    <t>previous_quarter_revenue</t>
  </si>
  <si>
    <t>quarter_revenue_growth</t>
  </si>
  <si>
    <t>pe_ratio</t>
  </si>
  <si>
    <t>industry_avg_pe_ratio</t>
  </si>
  <si>
    <t>avg_50d_volume</t>
  </si>
  <si>
    <t>INSERT INTO system_parameters.business_tables (table_name, table_label, description) VALUES ('watch_list', 'watch_list', 'watch_list')</t>
  </si>
  <si>
    <t>watch_list_id</t>
  </si>
  <si>
    <t>Ngày đưa vào theo dõi</t>
  </si>
  <si>
    <t>date_added</t>
  </si>
  <si>
    <t>Tên chứng khoán</t>
  </si>
  <si>
    <t>INSERT INTO system_parameters.business_tables (table_name, table_label, description) VALUES ('news_source', 'news_source', 'news_source')</t>
  </si>
  <si>
    <t>ID của nguồn tin</t>
  </si>
  <si>
    <t>source_id</t>
  </si>
  <si>
    <t>Tên nguồn tin</t>
  </si>
  <si>
    <t>source_name</t>
  </si>
  <si>
    <t>Loại nguồn (news, social_media, forum)</t>
  </si>
  <si>
    <t>source_type</t>
  </si>
  <si>
    <t>INSERT INTO system_parameters.business_tables (table_name, table_label, description) VALUES ('news_article', 'news_article', 'news_article')</t>
  </si>
  <si>
    <t>ID bài viết</t>
  </si>
  <si>
    <t>article_id</t>
  </si>
  <si>
    <t>Thời gian bài viết được xuất bản</t>
  </si>
  <si>
    <t>publish_date</t>
  </si>
  <si>
    <t>Tiêu đề bài viết</t>
  </si>
  <si>
    <t>title</t>
  </si>
  <si>
    <t>VARCHAR(500)</t>
  </si>
  <si>
    <t>Tóm tắt nội dung bài viết</t>
  </si>
  <si>
    <t>content</t>
  </si>
  <si>
    <t xml:space="preserve">Tệp tin </t>
  </si>
  <si>
    <t>file_data</t>
  </si>
  <si>
    <t>BYTEA</t>
  </si>
  <si>
    <t>INSERT INTO system_parameters.business_tables (table_name, table_label, description) VALUES ('follower_query', 'follower_query', 'follower_query')</t>
  </si>
  <si>
    <t>ID của truy vấn</t>
  </si>
  <si>
    <t>query_id</t>
  </si>
  <si>
    <t>Nội dung truy vấn (query string)</t>
  </si>
  <si>
    <t>query_content</t>
  </si>
  <si>
    <t>TEXT NOT NULL</t>
  </si>
  <si>
    <t>Tên gói dịch vụ</t>
  </si>
  <si>
    <t>Số lượng bản ghi truy xuất được</t>
  </si>
  <si>
    <t>record_count</t>
  </si>
  <si>
    <t>INT NOT NULL</t>
  </si>
  <si>
    <t>Phí truy vấn (VNĐ)</t>
  </si>
  <si>
    <t>query_fee</t>
  </si>
  <si>
    <t>Thời gian truy vấn</t>
  </si>
  <si>
    <t>executed_at</t>
  </si>
  <si>
    <t>INSERT INTO system_parameters.business_tables (table_name, table_label, description) VALUES ('afl', 'afl', 'afl')</t>
  </si>
  <si>
    <t>ID tự tăng định danh từng mã AFL.</t>
  </si>
  <si>
    <t>afl_id</t>
  </si>
  <si>
    <t>Tên của mã AFL (ví dụ: Moving Average Crossover, RSI Strategy).</t>
  </si>
  <si>
    <t>afl_name</t>
  </si>
  <si>
    <t>Mô tả chi tiết về mục đích và cách hoạt động của mã AFL.</t>
  </si>
  <si>
    <t>Ngày viết hoặc hoàn thiện mã AFL.</t>
  </si>
  <si>
    <t>created_date</t>
  </si>
  <si>
    <t>Phiên bản của mã AFL (nếu có).</t>
  </si>
  <si>
    <t>version</t>
  </si>
  <si>
    <t>Loại mã AFL (ví dụ: Indicator, Backtest Strategy, Exploration).</t>
  </si>
  <si>
    <t>afl_type</t>
  </si>
  <si>
    <t>Toàn bộ nội dung của mã AFL (dưới dạng text).</t>
  </si>
  <si>
    <t>afl_code</t>
  </si>
  <si>
    <t>Các yêu cầu đặc biệt (ví dụ: dữ liệu cụ thể, plugin).</t>
  </si>
  <si>
    <t>special_requirements</t>
  </si>
  <si>
    <t>Trạng thái của mã AFL (ví dụ: "Active", "Deprecated").</t>
  </si>
  <si>
    <t>Ghi chú bổ sung về mã AFL (nếu có).</t>
  </si>
  <si>
    <t>notes</t>
  </si>
  <si>
    <t>INSERT INTO system_parameters.business_tables (table_name, table_label, description) VALUES ('trade_setting', 'trade_setting', 'trade_setting')</t>
  </si>
  <si>
    <t>trade_setting_id</t>
  </si>
  <si>
    <t>Vốn ban đầu</t>
  </si>
  <si>
    <t>initial_equity</t>
  </si>
  <si>
    <t>Tên thuật toán</t>
  </si>
  <si>
    <t>Tần suất/Loại giao dịch (Hàng ngày/Giao dịch dài)</t>
  </si>
  <si>
    <t>periodicity_positions</t>
  </si>
  <si>
    <t>Phí giao dịch</t>
  </si>
  <si>
    <t>commissions</t>
  </si>
  <si>
    <t>Lãi suất hàng năm</t>
  </si>
  <si>
    <t>annual_interest_rate</t>
  </si>
  <si>
    <t>Khoảng thời gian</t>
  </si>
  <si>
    <t>range</t>
  </si>
  <si>
    <t>Áp dụng bộ lọc</t>
  </si>
  <si>
    <t>apply_to_filter</t>
  </si>
  <si>
    <t>Bộ lọc bao gồm (Include Filter)</t>
  </si>
  <si>
    <t>include_filter</t>
  </si>
  <si>
    <t>Bộ lọc loại trừ (Exclude Filter)</t>
  </si>
  <si>
    <t>exclude_filter</t>
  </si>
  <si>
    <t>Nhóm cổ phiếu</t>
  </si>
  <si>
    <t>group_stock</t>
  </si>
  <si>
    <t>Lĩnh vực (Sector)</t>
  </si>
  <si>
    <t>Ngành (Industry)</t>
  </si>
  <si>
    <t>Danh sách theo dõi (Watchlist)</t>
  </si>
  <si>
    <t>watchlist</t>
  </si>
  <si>
    <t>Mã ngành theo GICS</t>
  </si>
  <si>
    <t>gics</t>
  </si>
  <si>
    <t>Mã ngành theo ICB</t>
  </si>
  <si>
    <t>icb</t>
  </si>
  <si>
    <t>Chỉ số (Index)</t>
  </si>
  <si>
    <t>index</t>
  </si>
  <si>
    <t>Yêu thích (Favourite)</t>
  </si>
  <si>
    <t>favourite</t>
  </si>
  <si>
    <t>BOOLEAN</t>
  </si>
  <si>
    <t>Hệ số đòn bẩy tài khoản</t>
  </si>
  <si>
    <t>account_margin</t>
  </si>
  <si>
    <t>Chế độ hợp đồng tương lai (Futures mode)</t>
  </si>
  <si>
    <t>futures_mode</t>
  </si>
  <si>
    <t>Kích thước lô tròn mặc định</t>
  </si>
  <si>
    <t>def_round_lot_size</t>
  </si>
  <si>
    <t>Kích thước điểm (Tick Size)</t>
  </si>
  <si>
    <t>def_tick_size</t>
  </si>
  <si>
    <t>Tính toán giảm giá trị dựa trên: Giá cao/thấp</t>
  </si>
  <si>
    <t>drawdowns_based_on</t>
  </si>
  <si>
    <t>Giao dịch dài (Long trades)</t>
  </si>
  <si>
    <t>long_trades</t>
  </si>
  <si>
    <t>Giá mua giao dịch dài (Buy price)</t>
  </si>
  <si>
    <t>buy_price</t>
  </si>
  <si>
    <t>Giá bán giao dịch dài (Sell price)</t>
  </si>
  <si>
    <t>sell_price</t>
  </si>
  <si>
    <t>Thời gian trễ mua (Buy delay)</t>
  </si>
  <si>
    <t>buy_delay</t>
  </si>
  <si>
    <t>Thời gian trễ bán (Sell delay)</t>
  </si>
  <si>
    <t>sell_delay</t>
  </si>
  <si>
    <t>Giao dịch bán khống (Short trades)</t>
  </si>
  <si>
    <t>short_trades</t>
  </si>
  <si>
    <t>Giá bán khống (Short price)</t>
  </si>
  <si>
    <t>short_price</t>
  </si>
  <si>
    <t>Giá mua lại (Cover price)</t>
  </si>
  <si>
    <t>cover_price</t>
  </si>
  <si>
    <t>Thời gian trễ bán khống (Short delay)</t>
  </si>
  <si>
    <t>short_delay</t>
  </si>
  <si>
    <t>Thời gian trễ mua lại (Cover delay)</t>
  </si>
  <si>
    <t>cover_delay</t>
  </si>
  <si>
    <t>Dừng lỗ tối đa (Maximum loss)</t>
  </si>
  <si>
    <t>max_loss</t>
  </si>
  <si>
    <t>Mục tiêu lợi nhuận (Profit target)</t>
  </si>
  <si>
    <t>profit_target</t>
  </si>
  <si>
    <t>Giá trị dừng lỗ tối đa</t>
  </si>
  <si>
    <t>max_loss_value</t>
  </si>
  <si>
    <t>Giá trị mục tiêu lợi nhuận</t>
  </si>
  <si>
    <t>profit_target_value</t>
  </si>
  <si>
    <t>Dừng lỗ có áp dụng không (Exit at stop)</t>
  </si>
  <si>
    <t>exit_at_stop</t>
  </si>
  <si>
    <t>Dừng lỗ theo dõi (Trailing stop)</t>
  </si>
  <si>
    <t>trailing_stop</t>
  </si>
  <si>
    <t>Giá trị dừng lỗ theo dõi</t>
  </si>
  <si>
    <t>trailing_stop_value</t>
  </si>
  <si>
    <t>Dừng lỗ theo dõi có áp dụng không (Exit at stop)</t>
  </si>
  <si>
    <t>trailing_exit_at_stop</t>
  </si>
  <si>
    <t>INSERT INTO system_parameters.business_tables (table_name, table_label, description) VALUES ('trade_statistic', 'trade_statistic', 'trade_statistic')</t>
  </si>
  <si>
    <t>trade_statistic_id</t>
  </si>
  <si>
    <t>Loại thống kê (Tất cả giao dịch, Giao dịch Long, Giao dịch Short)</t>
  </si>
  <si>
    <t>stat_type</t>
  </si>
  <si>
    <t>initial_capital</t>
  </si>
  <si>
    <t>Vốn kết thúc</t>
  </si>
  <si>
    <t>ending_capital</t>
  </si>
  <si>
    <t>Lợi nhuận ròng</t>
  </si>
  <si>
    <t>net_profit</t>
  </si>
  <si>
    <t>Tỷ lệ phần trăm lợi nhuận ròng</t>
  </si>
  <si>
    <t>net_profit_percent</t>
  </si>
  <si>
    <t>NUMERIC(6, 2)</t>
  </si>
  <si>
    <t>Tỷ lệ tiếp xúc (Exposure)</t>
  </si>
  <si>
    <t>exposure_percent</t>
  </si>
  <si>
    <t>Lợi nhuận điều chỉnh rủi ro (Risk-Adjusted Return)</t>
  </si>
  <si>
    <t>net_risk_adjusted_return_percent</t>
  </si>
  <si>
    <t>Lợi nhuận hàng năm (Annual Return)</t>
  </si>
  <si>
    <t>annual_return_percent</t>
  </si>
  <si>
    <t>Lợi nhuận điều chỉnh rủi ro trong hệ thống</t>
  </si>
  <si>
    <t>risk_adjusted_return_percent</t>
  </si>
  <si>
    <t>Tổng chi phí giao dịch</t>
  </si>
  <si>
    <t>total_transaction_costs</t>
  </si>
  <si>
    <t>Tổng số giao dịch</t>
  </si>
  <si>
    <t>total_trades</t>
  </si>
  <si>
    <t>Số giao dịch Long</t>
  </si>
  <si>
    <t>Số giao dịch Short</t>
  </si>
  <si>
    <t>Lợi nhuận/lỗ trung bình</t>
  </si>
  <si>
    <t>avg_profit_loss</t>
  </si>
  <si>
    <t>Tỷ lệ lợi nhuận/lỗ trung bình</t>
  </si>
  <si>
    <t>avg_profit_loss_percent</t>
  </si>
  <si>
    <t>Số thanh trung bình giữ</t>
  </si>
  <si>
    <t>avg_bars_held</t>
  </si>
  <si>
    <t>Số giao dịch thắng</t>
  </si>
  <si>
    <t>winners_count</t>
  </si>
  <si>
    <t>Tổng lợi nhuận</t>
  </si>
  <si>
    <t>total_profit</t>
  </si>
  <si>
    <t>Lợi nhuận trung bình</t>
  </si>
  <si>
    <t>avg_profit</t>
  </si>
  <si>
    <t>Tỷ lệ lợi nhuận trung bình</t>
  </si>
  <si>
    <t>avg_profit_percent</t>
  </si>
  <si>
    <t>Số thanh trung bình của các giao dịch thắng</t>
  </si>
  <si>
    <t>avg_bars_held_winners</t>
  </si>
  <si>
    <t>Số giao dịch thắng liên tiếp lớn nhất</t>
  </si>
  <si>
    <t>max_consecutive_winners</t>
  </si>
  <si>
    <t>Giao dịch thắng lớn nhất</t>
  </si>
  <si>
    <t>largest_win</t>
  </si>
  <si>
    <t>Số thanh trong giao dịch thắng lớn nhất</t>
  </si>
  <si>
    <t>bars_in_largest_win</t>
  </si>
  <si>
    <t>Số giao dịch thua</t>
  </si>
  <si>
    <t>losers_count</t>
  </si>
  <si>
    <t>Tổng lỗ</t>
  </si>
  <si>
    <t>total_loss</t>
  </si>
  <si>
    <t>Lỗ trung bình</t>
  </si>
  <si>
    <t>avg_loss</t>
  </si>
  <si>
    <t>Tỷ lệ lỗ trung bình</t>
  </si>
  <si>
    <t>avg_loss_percent</t>
  </si>
  <si>
    <t>Số thanh trung bình của các giao dịch thua</t>
  </si>
  <si>
    <t>avg_bars_held_losers</t>
  </si>
  <si>
    <t>Số giao dịch thua liên tiếp lớn nhất</t>
  </si>
  <si>
    <t>max_consecutive_losers</t>
  </si>
  <si>
    <t>Giao dịch thua lớn nhất</t>
  </si>
  <si>
    <t>largest_loss</t>
  </si>
  <si>
    <t>Số thanh trong giao dịch thua lớn nhất</t>
  </si>
  <si>
    <t>bars_in_largest_loss</t>
  </si>
  <si>
    <t>Mức giảm vốn tối đa trong một giao dịch</t>
  </si>
  <si>
    <t>max_trade_drawdown</t>
  </si>
  <si>
    <t>Tỷ lệ phần trăm giảm vốn tối đa trong một giao dịch</t>
  </si>
  <si>
    <t>max_trade_drawdown_percent</t>
  </si>
  <si>
    <t>Mức giảm vốn tối đa trong hệ thống</t>
  </si>
  <si>
    <t>max_system_drawdown</t>
  </si>
  <si>
    <t>Tỷ lệ phần trăm giảm vốn tối đa trong hệ thống</t>
  </si>
  <si>
    <t>max_system_drawdown_percent</t>
  </si>
  <si>
    <t>Chỉ số phục hồi</t>
  </si>
  <si>
    <t>recovery_factor</t>
  </si>
  <si>
    <t>Tỷ lệ CAR/MaxDD</t>
  </si>
  <si>
    <t>car_maxdd</t>
  </si>
  <si>
    <t>Tỷ lệ RAR/MaxDD</t>
  </si>
  <si>
    <t>rar_maxdd</t>
  </si>
  <si>
    <t>Tỷ lệ lợi nhuận của hệ thống</t>
  </si>
  <si>
    <t>profit_factor</t>
  </si>
  <si>
    <t>Tỷ lệ payoff (lợi nhuận/chi phí)</t>
  </si>
  <si>
    <t>payoff_ratio</t>
  </si>
  <si>
    <t>Sai số chuẩn (Standard Error)</t>
  </si>
  <si>
    <t>standard_error</t>
  </si>
  <si>
    <t>Tỷ lệ rủi ro/lợi nhuận</t>
  </si>
  <si>
    <t>risk_reward_ratio</t>
  </si>
  <si>
    <t>Chỉ số Ulcer (mức độ tổn thương trong giao dịch)</t>
  </si>
  <si>
    <t>ulcer_index</t>
  </si>
  <si>
    <t>Chỉ số Ulcer Performance</t>
  </si>
  <si>
    <t>ulcer_performance_index</t>
  </si>
  <si>
    <t>Tỷ lệ Sharpe của các giao dịch</t>
  </si>
  <si>
    <t>sharpe_ratio_of_trades</t>
  </si>
  <si>
    <t>Tỷ lệ K của hệ thống</t>
  </si>
  <si>
    <t>k_ratio</t>
  </si>
  <si>
    <t>INSERT INTO system_parameters.business_tables (table_name, table_label, description) VALUES ('trade_entry', 'trade_entry', 'trade_entry')</t>
  </si>
  <si>
    <t>trade_entry_id</t>
  </si>
  <si>
    <t>Loại giao dịch (Long/Short)</t>
  </si>
  <si>
    <t>trade_type</t>
  </si>
  <si>
    <t>VARCHAR(10) NOT NULL</t>
  </si>
  <si>
    <t>Ngày vào lệnh</t>
  </si>
  <si>
    <t>entry_date</t>
  </si>
  <si>
    <t>TIMESTAMP NOT NULL</t>
  </si>
  <si>
    <t>Giá vào lệnh</t>
  </si>
  <si>
    <t>entry_price</t>
  </si>
  <si>
    <t>NUMERIC(10, 5) NOT NULL</t>
  </si>
  <si>
    <t>Ngày thoát lệnh</t>
  </si>
  <si>
    <t>exit_date</t>
  </si>
  <si>
    <t>Giá thoát lệnh</t>
  </si>
  <si>
    <t>exit_price</t>
  </si>
  <si>
    <t>NUMERIC(10, 5)</t>
  </si>
  <si>
    <t>% thay đổi giá</t>
  </si>
  <si>
    <t>percentage_change</t>
  </si>
  <si>
    <t>Lợi nhuận</t>
  </si>
  <si>
    <t>profit</t>
  </si>
  <si>
    <t>Số lượng cổ phiếu</t>
  </si>
  <si>
    <t>shares</t>
  </si>
  <si>
    <t>Giá trị vị thế</t>
  </si>
  <si>
    <t>position_value</t>
  </si>
  <si>
    <t>Lợi nhuận tích lũy</t>
  </si>
  <si>
    <t>cumulative_profit</t>
  </si>
  <si>
    <t>Số lượng thanh</t>
  </si>
  <si>
    <t>num_bars</t>
  </si>
  <si>
    <t>Lợi nhuận trên mỗi thanh</t>
  </si>
  <si>
    <t>profit_per_bar</t>
  </si>
  <si>
    <t>MAE/MFE (Maximum Adverse/Favorable Excursion)</t>
  </si>
  <si>
    <t>mae_mfe</t>
  </si>
  <si>
    <t>Thang đo vào/ra</t>
  </si>
  <si>
    <t>scale_in_out</t>
  </si>
  <si>
    <t>INSERT INTO system_parameters.business_tables (table_name, table_label, description) VALUES ('trade_signal', 'trade_signal', 'trade_signal')</t>
  </si>
  <si>
    <t>trade_signal_id</t>
  </si>
  <si>
    <t>Ngày tín hiệu giao dịch</t>
  </si>
  <si>
    <t>trade_signal_date</t>
  </si>
  <si>
    <t>Loại tín hiệu</t>
  </si>
  <si>
    <t>signal_type</t>
  </si>
  <si>
    <t>VARCHAR(4)</t>
  </si>
  <si>
    <t>Giá</t>
  </si>
  <si>
    <t>price</t>
  </si>
  <si>
    <t>Giá cắt lỗ</t>
  </si>
  <si>
    <t>stop_loss</t>
  </si>
  <si>
    <t>Giá chốt lời</t>
  </si>
  <si>
    <t>take_profit</t>
  </si>
  <si>
    <t>Tỉ lệ rủi ro</t>
  </si>
  <si>
    <t>risk</t>
  </si>
  <si>
    <t>Tỉ lệ lợi nhuận</t>
  </si>
  <si>
    <t>reward</t>
  </si>
  <si>
    <t>Tỉ lệ rủi ro/lợi nhuận</t>
  </si>
  <si>
    <t>ratio</t>
  </si>
  <si>
    <t>INSERT INTO system_parameters.business_tables (table_name, table_label, description) VALUES ('order', 'order', 'order')</t>
  </si>
  <si>
    <t>order_id</t>
  </si>
  <si>
    <t>Loại lệnh (VD: Mua, Bán).</t>
  </si>
  <si>
    <t>order_type</t>
  </si>
  <si>
    <t>Giá đặt lệnh.</t>
  </si>
  <si>
    <t>order_price</t>
  </si>
  <si>
    <t>Khối lượng đặt lệnh.</t>
  </si>
  <si>
    <t>order_volume</t>
  </si>
  <si>
    <t>Thời điểm tạo lệnh.</t>
  </si>
  <si>
    <t>Trạng thái lệnh (VD: Pending, Matched, Cancelled).</t>
  </si>
  <si>
    <t>Tên tín hiệu</t>
  </si>
  <si>
    <t xml:space="preserve">Phí giao dịch </t>
  </si>
  <si>
    <t>trade_fee</t>
  </si>
  <si>
    <t>INSERT INTO system_parameters.business_tables (table_name, table_label, description) VALUES ('follower_fee', 'follower_fee', 'follower_fee')</t>
  </si>
  <si>
    <t>ID của phí</t>
  </si>
  <si>
    <t>fee_id</t>
  </si>
  <si>
    <t>Tổng phí khai thác hàng tháng</t>
  </si>
  <si>
    <t>NUMERIC(15, 2) DEFAULT 0.00</t>
  </si>
  <si>
    <t>Tổng phí truy vấn dữ liệu</t>
  </si>
  <si>
    <t>Ngày ghi nhận phí</t>
  </si>
  <si>
    <t>calculated_at</t>
  </si>
  <si>
    <t>Tổng phí giao dịch</t>
  </si>
  <si>
    <t>INSERT INTO system_parameters.business_tables (table_name, table_label, description) VALUES ('leader_fee', 'leader_fee', 'leader_fee')</t>
  </si>
  <si>
    <t>Tổng giao dịch</t>
  </si>
  <si>
    <t>INSERT INTO system_parameters.business_tables (table_name, table_label, description) VALUES ('payment_method', 'payment_method', 'payment_method')</t>
  </si>
  <si>
    <t>ID duy nhất của phương thức thanh toán.</t>
  </si>
  <si>
    <t>payment_method_id</t>
  </si>
  <si>
    <t>Tên phương thức (VD: Visa, MasterCard, PayPal, Ngân hàng).</t>
  </si>
  <si>
    <t>Loại phương thức (VD: Credit Card, E-Wallet, Bank Transfer).</t>
  </si>
  <si>
    <t>Mô tả chi tiết phương thức.</t>
  </si>
  <si>
    <t>Trạng thái (VD: Active, Inactive).</t>
  </si>
  <si>
    <t>Thời gian tạo.</t>
  </si>
  <si>
    <t>Thời gian cập nhật.</t>
  </si>
  <si>
    <t>INSERT INTO system_parameters.business_tables (table_name, table_label, description) VALUES ('user_payment_method', 'user_payment_method', 'user_payment_method')</t>
  </si>
  <si>
    <t>ID phương thức thanh toán của người dùng</t>
  </si>
  <si>
    <t>user_payment_id</t>
  </si>
  <si>
    <t>Thông tin chi tiết phương thức thanh toán</t>
  </si>
  <si>
    <t>details</t>
  </si>
  <si>
    <t>Tên phương thức thanh toán</t>
  </si>
  <si>
    <t>Đánh dấu phương thức thanh toán mặc định</t>
  </si>
  <si>
    <t>is_default</t>
  </si>
  <si>
    <t>INSERT INTO system_parameters.business_tables (table_name, table_label, description) VALUES ('payment', 'payment', 'payment')</t>
  </si>
  <si>
    <t>ID giao dịch thanh toán (duy nhất)</t>
  </si>
  <si>
    <t>payment_id</t>
  </si>
  <si>
    <t>Số tiền thanh toán</t>
  </si>
  <si>
    <t>amount</t>
  </si>
  <si>
    <t>DECIMAL(10, 2)</t>
  </si>
  <si>
    <t>Tên phương thức thanh toán của người sử dụng</t>
  </si>
  <si>
    <t>user_payment_method_id</t>
  </si>
  <si>
    <t>Ngày thực hiện giao dịch</t>
  </si>
  <si>
    <t>payment_date</t>
  </si>
  <si>
    <t>Trạng thái thanh toán (e.g., pending, completed)</t>
  </si>
  <si>
    <t>INSERT INTO system_parameters.business_tables (table_name, table_label, description) VALUES ('security_company', 'security_company', 'security_company')</t>
  </si>
  <si>
    <t>ID duy nhất của công ty</t>
  </si>
  <si>
    <t>security_company_id</t>
  </si>
  <si>
    <t>Tên CTCK</t>
  </si>
  <si>
    <t>Mã công ty</t>
  </si>
  <si>
    <t>code</t>
  </si>
  <si>
    <t>VARCHAR(50) NOT NULL</t>
  </si>
  <si>
    <t>Mô tả công ty</t>
  </si>
  <si>
    <t>INSERT INTO system_parameters.business_tables (table_name, table_label, description) VALUES ('endpoint', 'endpoint', 'endpoint')</t>
  </si>
  <si>
    <t>ID duy nhất của endpoint</t>
  </si>
  <si>
    <t>endpoint_id</t>
  </si>
  <si>
    <t xml:space="preserve">Tên Endpoint </t>
  </si>
  <si>
    <t>VARCHAR(255) NOT NULL</t>
  </si>
  <si>
    <t>URL của endpoint</t>
  </si>
  <si>
    <t>url</t>
  </si>
  <si>
    <t>Mô tả endpoint</t>
  </si>
  <si>
    <t>INSERT INTO system_parameters.business_tables (table_name, table_label, description) VALUES ('api', 'api', 'api')</t>
  </si>
  <si>
    <t>ID duy nhất của API</t>
  </si>
  <si>
    <t>api_id</t>
  </si>
  <si>
    <t>Tên API</t>
  </si>
  <si>
    <t>api_name</t>
  </si>
  <si>
    <t>Tên Endpoint</t>
  </si>
  <si>
    <t>Phương thức HTTP</t>
  </si>
  <si>
    <t>method</t>
  </si>
  <si>
    <t>URL tương đối của API</t>
  </si>
  <si>
    <t>Mô tả API</t>
  </si>
  <si>
    <t>INSERT INTO system_parameters.business_tables (table_name, table_label, description) VALUES ('api_parameter', 'api_parameter', 'api_parameter')</t>
  </si>
  <si>
    <t>ID duy nhất của tham số</t>
  </si>
  <si>
    <t>param_id</t>
  </si>
  <si>
    <t>Tên tham số</t>
  </si>
  <si>
    <t>param_name</t>
  </si>
  <si>
    <t>Kiểu dữ liệu</t>
  </si>
  <si>
    <t>param_type</t>
  </si>
  <si>
    <t>Tham số có bắt buộc không</t>
  </si>
  <si>
    <t>is_required</t>
  </si>
  <si>
    <t>BOOLEAN DEFAULT TRUE</t>
  </si>
  <si>
    <t>Mô tả tham số</t>
  </si>
  <si>
    <t>INSERT INTO system_parameters.business_tables (table_name, table_label, description) VALUES ('api_response', 'api_response', 'api_response')</t>
  </si>
  <si>
    <t>ID duy nhất của phản hồi</t>
  </si>
  <si>
    <t>response_id</t>
  </si>
  <si>
    <t>Mã phản hồi</t>
  </si>
  <si>
    <t>Mô tả mã phản hồi</t>
  </si>
  <si>
    <t>format phản hồi</t>
  </si>
  <si>
    <t>format</t>
  </si>
  <si>
    <t>INSERT INTO system_parameters.business_tables (table_name, table_label, description) VALUES ('api_error', 'api_error', 'api_error')</t>
  </si>
  <si>
    <t>ID duy nhất của lỗi</t>
  </si>
  <si>
    <t>error_id</t>
  </si>
  <si>
    <t>Mã lỗi</t>
  </si>
  <si>
    <t>Mô tả lỗi</t>
  </si>
  <si>
    <t>message</t>
  </si>
  <si>
    <t>Trường hợp xảy ra lỗi</t>
  </si>
  <si>
    <t>case</t>
  </si>
  <si>
    <t>INSERT INTO system_parameters.business_tables (table_name, table_label, description) VALUES ('user_auth', 'user_auth', 'user_auth')</t>
  </si>
  <si>
    <t>ID duy nhất của cấu hình</t>
  </si>
  <si>
    <t>user_auth_id</t>
  </si>
  <si>
    <t>Dữ liệu xác thực</t>
  </si>
  <si>
    <t>auth_data</t>
  </si>
  <si>
    <t>JSONB NOT NULL</t>
  </si>
  <si>
    <t>Tên leader/follower</t>
  </si>
  <si>
    <t>Thời gian cập nhật</t>
  </si>
  <si>
    <t>INSERT INTO system_parameters.business_tables (table_name, table_label, description) VALUES ('api_log', 'api_log', 'api_log')</t>
  </si>
  <si>
    <t>ID duy nhất của log</t>
  </si>
  <si>
    <t>log_id</t>
  </si>
  <si>
    <t>Thời gian gọi API</t>
  </si>
  <si>
    <t>called_at</t>
  </si>
  <si>
    <t>Liên kết với API</t>
  </si>
  <si>
    <t>Mã trạng thái HTTP</t>
  </si>
  <si>
    <t>status_code</t>
  </si>
  <si>
    <t>Thời gian phản hồi (ms)</t>
  </si>
  <si>
    <t>response_time_ms</t>
  </si>
  <si>
    <t>Payload gửi đi</t>
  </si>
  <si>
    <t>request_payload</t>
  </si>
  <si>
    <t>Payload phản hồi</t>
  </si>
  <si>
    <t>response_payload</t>
  </si>
  <si>
    <t>INSERT INTO system_parameters.business_tables (table_name, table_label, description) VALUES ('comment', 'comment', 'comment')</t>
  </si>
  <si>
    <t>ID bình luận (duy nhất)</t>
  </si>
  <si>
    <t>comment_id</t>
  </si>
  <si>
    <t>Nội dung bình luận</t>
  </si>
  <si>
    <t>Tên bình luận cha</t>
  </si>
  <si>
    <t>parent_id</t>
  </si>
  <si>
    <t>Cấp độ của comment (e.g., 0 là comment gốc, 1+ là reply)</t>
  </si>
  <si>
    <t>level</t>
  </si>
  <si>
    <t>Ngày tạo bình luận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</si>
</sst>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rgb="FF000000"/>
      <name val="Arial"/>
    </font>
    <font>
      <b/>
      <color theme="1"/>
      <name val="Arial"/>
      <scheme val="minor"/>
    </font>
    <font>
      <color rgb="FF000000"/>
      <name val="Arial"/>
    </font>
    <font>
      <u/>
      <sz val="11.0"/>
      <color rgb="FF0000FF"/>
      <name val="Calibri"/>
    </font>
    <font>
      <color theme="1"/>
      <name val="Arial"/>
      <scheme val="minor"/>
    </font>
    <font>
      <u/>
      <color rgb="FF0000FF"/>
    </font>
    <font>
      <b/>
      <sz val="12.0"/>
      <color rgb="FF000000"/>
      <name val="Arial"/>
      <scheme val="minor"/>
    </font>
    <font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5" numFmtId="0" xfId="0" applyAlignment="1" applyFont="1">
      <alignment horizontal="center"/>
    </xf>
    <xf borderId="0" fillId="0" fontId="5" numFmtId="0" xfId="0" applyAlignment="1" applyFont="1">
      <alignment readingOrder="0"/>
    </xf>
    <xf borderId="0" fillId="0" fontId="5" numFmtId="0" xfId="0" applyAlignment="1" applyFont="1">
      <alignment shrinkToFit="0" wrapText="1"/>
    </xf>
    <xf borderId="0" fillId="0" fontId="7" numFmtId="0" xfId="0" applyAlignment="1" applyFont="1">
      <alignment horizontal="center" readingOrder="0" shrinkToFit="0" wrapText="1"/>
    </xf>
    <xf borderId="0" fillId="0" fontId="7" numFmtId="0" xfId="0" applyAlignment="1" applyFont="1">
      <alignment horizontal="center" readingOrder="0"/>
    </xf>
    <xf borderId="0" fillId="0" fontId="2" numFmtId="0" xfId="0" applyAlignment="1" applyFont="1">
      <alignment horizontal="center" readingOrder="0" shrinkToFit="0" wrapText="1"/>
    </xf>
    <xf borderId="0" fillId="0" fontId="5" numFmtId="0" xfId="0" applyAlignment="1" applyFont="1">
      <alignment horizontal="center" readingOrder="0"/>
    </xf>
    <xf borderId="0" fillId="0" fontId="8" numFmtId="0" xfId="0" applyAlignment="1" applyFont="1">
      <alignment readingOrder="0"/>
    </xf>
    <xf borderId="0" fillId="0" fontId="5" numFmtId="0" xfId="0" applyAlignment="1" applyFont="1">
      <alignment readingOrder="0" shrinkToFit="0" wrapText="1"/>
    </xf>
    <xf borderId="0" fillId="0" fontId="7" numFmtId="0" xfId="0" applyAlignment="1" applyFont="1">
      <alignment horizontal="center" readingOrder="0" shrinkToFit="0" vertical="top" wrapText="1"/>
    </xf>
    <xf borderId="0" fillId="0" fontId="7" numFmtId="0" xfId="0" applyAlignment="1" applyFont="1">
      <alignment horizontal="center" readingOrder="0" vertical="top"/>
    </xf>
    <xf borderId="0" fillId="0" fontId="2" numFmtId="0" xfId="0" applyAlignment="1" applyFont="1">
      <alignment horizontal="center" readingOrder="0" shrinkToFit="0" vertical="top" wrapText="1"/>
    </xf>
    <xf borderId="0" fillId="0" fontId="2" numFmtId="0" xfId="0" applyAlignment="1" applyFont="1">
      <alignment horizontal="center" readingOrder="0"/>
    </xf>
    <xf borderId="0" fillId="0" fontId="5" numFmtId="0" xfId="0" applyAlignment="1" applyFont="1">
      <alignment horizontal="center" readingOrder="0" vertical="top"/>
    </xf>
    <xf borderId="0" fillId="0" fontId="8" numFmtId="0" xfId="0" applyAlignment="1" applyFont="1">
      <alignment readingOrder="0" vertical="top"/>
    </xf>
    <xf borderId="0" fillId="0" fontId="5" numFmtId="0" xfId="0" applyAlignment="1" applyFont="1">
      <alignment readingOrder="0" shrinkToFit="0" vertical="top" wrapText="1"/>
    </xf>
    <xf borderId="0" fillId="0" fontId="5" numFmtId="0" xfId="0" applyAlignment="1" applyFont="1">
      <alignment shrinkToFit="0" vertical="top" wrapText="1"/>
    </xf>
    <xf borderId="0" fillId="0" fontId="5" numFmtId="0" xfId="0" applyFont="1"/>
    <xf borderId="0" fillId="0" fontId="5" numFmtId="0" xfId="0" applyAlignment="1" applyFont="1">
      <alignment readingOrder="0" vertical="top"/>
    </xf>
    <xf borderId="0" fillId="2" fontId="3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20" Type="http://schemas.openxmlformats.org/officeDocument/2006/relationships/worksheet" Target="worksheets/sheet17.xml"/><Relationship Id="rId41" Type="http://schemas.openxmlformats.org/officeDocument/2006/relationships/worksheet" Target="worksheets/sheet38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39" Type="http://schemas.openxmlformats.org/officeDocument/2006/relationships/worksheet" Target="worksheets/sheet36.xml"/><Relationship Id="rId16" Type="http://schemas.openxmlformats.org/officeDocument/2006/relationships/worksheet" Target="worksheets/sheet13.xml"/><Relationship Id="rId38" Type="http://schemas.openxmlformats.org/officeDocument/2006/relationships/worksheet" Target="worksheets/sheet35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25"/>
    <col customWidth="1" min="2" max="2" width="18.0"/>
    <col customWidth="1" min="3" max="3" width="18.5"/>
    <col customWidth="1" min="4" max="4" width="19.75"/>
    <col customWidth="1" min="5" max="5" width="1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</row>
    <row r="2">
      <c r="A2" s="3">
        <v>1.0</v>
      </c>
      <c r="B2" s="4" t="s">
        <v>4</v>
      </c>
      <c r="C2" s="5" t="s">
        <v>4</v>
      </c>
      <c r="D2" s="4" t="s">
        <v>5</v>
      </c>
    </row>
    <row r="3">
      <c r="A3" s="3">
        <f t="shared" ref="A3:A38" si="1">A2+1</f>
        <v>2</v>
      </c>
      <c r="B3" s="4" t="s">
        <v>6</v>
      </c>
      <c r="C3" s="5" t="s">
        <v>6</v>
      </c>
      <c r="D3" s="4" t="s">
        <v>5</v>
      </c>
    </row>
    <row r="4">
      <c r="A4" s="3">
        <f t="shared" si="1"/>
        <v>3</v>
      </c>
      <c r="B4" s="4" t="s">
        <v>7</v>
      </c>
      <c r="C4" s="5" t="s">
        <v>7</v>
      </c>
      <c r="D4" s="4" t="s">
        <v>5</v>
      </c>
    </row>
    <row r="5">
      <c r="A5" s="3">
        <f t="shared" si="1"/>
        <v>4</v>
      </c>
      <c r="B5" s="4" t="s">
        <v>8</v>
      </c>
      <c r="C5" s="5" t="s">
        <v>8</v>
      </c>
      <c r="D5" s="4" t="s">
        <v>5</v>
      </c>
    </row>
    <row r="6">
      <c r="A6" s="3">
        <f t="shared" si="1"/>
        <v>5</v>
      </c>
      <c r="B6" s="4" t="s">
        <v>9</v>
      </c>
      <c r="C6" s="5" t="s">
        <v>9</v>
      </c>
      <c r="D6" s="4" t="s">
        <v>5</v>
      </c>
    </row>
    <row r="7">
      <c r="A7" s="3">
        <f t="shared" si="1"/>
        <v>6</v>
      </c>
      <c r="B7" s="6" t="s">
        <v>10</v>
      </c>
      <c r="C7" s="7" t="s">
        <v>10</v>
      </c>
      <c r="D7" s="4" t="s">
        <v>5</v>
      </c>
    </row>
    <row r="8">
      <c r="A8" s="3">
        <f t="shared" si="1"/>
        <v>7</v>
      </c>
      <c r="B8" s="6" t="s">
        <v>11</v>
      </c>
      <c r="C8" s="7" t="s">
        <v>11</v>
      </c>
      <c r="D8" s="4" t="s">
        <v>5</v>
      </c>
    </row>
    <row r="9">
      <c r="A9" s="3">
        <f t="shared" si="1"/>
        <v>8</v>
      </c>
      <c r="B9" s="6" t="s">
        <v>12</v>
      </c>
      <c r="C9" s="7" t="s">
        <v>12</v>
      </c>
      <c r="D9" s="4" t="s">
        <v>5</v>
      </c>
    </row>
    <row r="10">
      <c r="A10" s="3">
        <f t="shared" si="1"/>
        <v>9</v>
      </c>
      <c r="B10" s="6" t="s">
        <v>13</v>
      </c>
      <c r="C10" s="7" t="s">
        <v>13</v>
      </c>
      <c r="D10" s="4" t="s">
        <v>5</v>
      </c>
    </row>
    <row r="11">
      <c r="A11" s="3">
        <f t="shared" si="1"/>
        <v>10</v>
      </c>
      <c r="B11" s="6" t="s">
        <v>14</v>
      </c>
      <c r="C11" s="7" t="s">
        <v>14</v>
      </c>
      <c r="D11" s="4" t="s">
        <v>5</v>
      </c>
    </row>
    <row r="12">
      <c r="A12" s="3">
        <f t="shared" si="1"/>
        <v>11</v>
      </c>
      <c r="B12" s="6" t="s">
        <v>15</v>
      </c>
      <c r="C12" s="7" t="s">
        <v>15</v>
      </c>
      <c r="D12" s="4" t="s">
        <v>5</v>
      </c>
    </row>
    <row r="13">
      <c r="A13" s="3">
        <f t="shared" si="1"/>
        <v>12</v>
      </c>
      <c r="B13" s="2" t="s">
        <v>16</v>
      </c>
      <c r="C13" s="7" t="s">
        <v>16</v>
      </c>
      <c r="D13" s="4" t="s">
        <v>5</v>
      </c>
    </row>
    <row r="14">
      <c r="A14" s="3">
        <f t="shared" si="1"/>
        <v>13</v>
      </c>
      <c r="B14" s="2" t="s">
        <v>17</v>
      </c>
      <c r="C14" s="7" t="s">
        <v>17</v>
      </c>
      <c r="D14" s="4" t="s">
        <v>5</v>
      </c>
    </row>
    <row r="15">
      <c r="A15" s="3">
        <f t="shared" si="1"/>
        <v>14</v>
      </c>
      <c r="B15" s="2" t="s">
        <v>18</v>
      </c>
      <c r="C15" s="7" t="s">
        <v>18</v>
      </c>
      <c r="D15" s="4" t="s">
        <v>5</v>
      </c>
    </row>
    <row r="16">
      <c r="A16" s="3">
        <f t="shared" si="1"/>
        <v>15</v>
      </c>
      <c r="B16" s="6" t="s">
        <v>19</v>
      </c>
      <c r="C16" s="7" t="s">
        <v>20</v>
      </c>
      <c r="D16" s="4" t="s">
        <v>5</v>
      </c>
    </row>
    <row r="17">
      <c r="A17" s="3">
        <f t="shared" si="1"/>
        <v>16</v>
      </c>
      <c r="B17" s="2" t="s">
        <v>21</v>
      </c>
      <c r="C17" s="7" t="s">
        <v>22</v>
      </c>
      <c r="D17" s="4" t="s">
        <v>5</v>
      </c>
    </row>
    <row r="18">
      <c r="A18" s="3">
        <f t="shared" si="1"/>
        <v>17</v>
      </c>
      <c r="B18" s="6" t="s">
        <v>23</v>
      </c>
      <c r="C18" s="7" t="s">
        <v>23</v>
      </c>
      <c r="D18" s="4" t="s">
        <v>24</v>
      </c>
    </row>
    <row r="19">
      <c r="A19" s="3">
        <f t="shared" si="1"/>
        <v>18</v>
      </c>
      <c r="B19" s="6" t="s">
        <v>25</v>
      </c>
      <c r="C19" s="7" t="s">
        <v>25</v>
      </c>
      <c r="D19" s="4" t="s">
        <v>5</v>
      </c>
    </row>
    <row r="20">
      <c r="A20" s="3">
        <f t="shared" si="1"/>
        <v>19</v>
      </c>
      <c r="B20" s="4" t="s">
        <v>26</v>
      </c>
      <c r="C20" s="7" t="s">
        <v>26</v>
      </c>
      <c r="D20" s="4" t="s">
        <v>24</v>
      </c>
    </row>
    <row r="21">
      <c r="A21" s="3">
        <f t="shared" si="1"/>
        <v>20</v>
      </c>
      <c r="B21" s="4" t="s">
        <v>27</v>
      </c>
      <c r="C21" s="7" t="s">
        <v>27</v>
      </c>
      <c r="D21" s="4" t="s">
        <v>24</v>
      </c>
    </row>
    <row r="22">
      <c r="A22" s="3">
        <f t="shared" si="1"/>
        <v>21</v>
      </c>
      <c r="B22" s="4" t="s">
        <v>28</v>
      </c>
      <c r="C22" s="7" t="s">
        <v>28</v>
      </c>
      <c r="D22" s="4" t="s">
        <v>24</v>
      </c>
    </row>
    <row r="23">
      <c r="A23" s="3">
        <f t="shared" si="1"/>
        <v>22</v>
      </c>
      <c r="B23" s="2" t="s">
        <v>29</v>
      </c>
      <c r="C23" s="7" t="s">
        <v>29</v>
      </c>
      <c r="D23" s="4" t="s">
        <v>24</v>
      </c>
    </row>
    <row r="24">
      <c r="A24" s="3">
        <f t="shared" si="1"/>
        <v>23</v>
      </c>
      <c r="B24" s="6" t="s">
        <v>30</v>
      </c>
      <c r="C24" s="7" t="s">
        <v>30</v>
      </c>
      <c r="D24" s="4" t="s">
        <v>24</v>
      </c>
    </row>
    <row r="25">
      <c r="A25" s="3">
        <f t="shared" si="1"/>
        <v>24</v>
      </c>
      <c r="B25" s="4" t="s">
        <v>31</v>
      </c>
      <c r="C25" s="7" t="s">
        <v>31</v>
      </c>
      <c r="D25" s="4" t="s">
        <v>24</v>
      </c>
    </row>
    <row r="26">
      <c r="A26" s="3">
        <f t="shared" si="1"/>
        <v>25</v>
      </c>
      <c r="B26" s="4" t="s">
        <v>32</v>
      </c>
      <c r="C26" s="7" t="s">
        <v>32</v>
      </c>
      <c r="D26" s="4" t="s">
        <v>24</v>
      </c>
    </row>
    <row r="27">
      <c r="A27" s="3">
        <f t="shared" si="1"/>
        <v>26</v>
      </c>
      <c r="B27" s="4" t="s">
        <v>33</v>
      </c>
      <c r="C27" s="7" t="s">
        <v>33</v>
      </c>
      <c r="D27" s="4" t="s">
        <v>5</v>
      </c>
    </row>
    <row r="28">
      <c r="A28" s="3">
        <f t="shared" si="1"/>
        <v>27</v>
      </c>
      <c r="B28" s="4" t="s">
        <v>34</v>
      </c>
      <c r="C28" s="7" t="s">
        <v>34</v>
      </c>
      <c r="D28" s="4" t="s">
        <v>5</v>
      </c>
    </row>
    <row r="29">
      <c r="A29" s="3">
        <f t="shared" si="1"/>
        <v>28</v>
      </c>
      <c r="B29" s="4" t="s">
        <v>35</v>
      </c>
      <c r="C29" s="7" t="s">
        <v>35</v>
      </c>
      <c r="D29" s="4" t="s">
        <v>5</v>
      </c>
    </row>
    <row r="30" ht="23.25" customHeight="1">
      <c r="A30" s="3">
        <f t="shared" si="1"/>
        <v>29</v>
      </c>
      <c r="B30" s="4" t="s">
        <v>36</v>
      </c>
      <c r="C30" s="7" t="s">
        <v>36</v>
      </c>
      <c r="D30" s="4" t="s">
        <v>5</v>
      </c>
    </row>
    <row r="31">
      <c r="A31" s="3">
        <f t="shared" si="1"/>
        <v>30</v>
      </c>
      <c r="B31" s="4" t="s">
        <v>37</v>
      </c>
      <c r="C31" s="7" t="s">
        <v>37</v>
      </c>
      <c r="D31" s="4" t="s">
        <v>5</v>
      </c>
    </row>
    <row r="32">
      <c r="A32" s="3">
        <f t="shared" si="1"/>
        <v>31</v>
      </c>
      <c r="B32" s="4" t="s">
        <v>38</v>
      </c>
      <c r="C32" s="7" t="s">
        <v>38</v>
      </c>
      <c r="D32" s="4" t="s">
        <v>5</v>
      </c>
    </row>
    <row r="33">
      <c r="A33" s="3">
        <f t="shared" si="1"/>
        <v>32</v>
      </c>
      <c r="B33" s="4" t="s">
        <v>39</v>
      </c>
      <c r="C33" s="7" t="s">
        <v>39</v>
      </c>
      <c r="D33" s="4" t="s">
        <v>5</v>
      </c>
    </row>
    <row r="34">
      <c r="A34" s="3">
        <f t="shared" si="1"/>
        <v>33</v>
      </c>
      <c r="B34" s="4" t="s">
        <v>40</v>
      </c>
      <c r="C34" s="7" t="s">
        <v>40</v>
      </c>
      <c r="D34" s="4" t="s">
        <v>5</v>
      </c>
    </row>
    <row r="35">
      <c r="A35" s="3">
        <f t="shared" si="1"/>
        <v>34</v>
      </c>
      <c r="B35" s="4" t="s">
        <v>41</v>
      </c>
      <c r="C35" s="7" t="s">
        <v>41</v>
      </c>
      <c r="D35" s="4" t="s">
        <v>24</v>
      </c>
    </row>
    <row r="36">
      <c r="A36" s="3">
        <f t="shared" si="1"/>
        <v>35</v>
      </c>
      <c r="B36" s="4" t="s">
        <v>42</v>
      </c>
      <c r="C36" s="7" t="s">
        <v>42</v>
      </c>
      <c r="D36" s="4" t="s">
        <v>5</v>
      </c>
    </row>
    <row r="37">
      <c r="A37" s="3">
        <f t="shared" si="1"/>
        <v>36</v>
      </c>
      <c r="B37" s="4" t="s">
        <v>43</v>
      </c>
      <c r="C37" s="7" t="s">
        <v>43</v>
      </c>
      <c r="D37" s="4" t="s">
        <v>24</v>
      </c>
    </row>
    <row r="38">
      <c r="A38" s="3">
        <f t="shared" si="1"/>
        <v>37</v>
      </c>
      <c r="B38" s="6" t="s">
        <v>44</v>
      </c>
      <c r="C38" s="7" t="s">
        <v>44</v>
      </c>
      <c r="D38" s="4" t="s">
        <v>5</v>
      </c>
    </row>
    <row r="39">
      <c r="A39" s="8"/>
      <c r="C39" s="9"/>
      <c r="D39" s="10"/>
    </row>
    <row r="40">
      <c r="A40" s="8"/>
      <c r="C40" s="9"/>
      <c r="D40" s="10"/>
    </row>
    <row r="41">
      <c r="A41" s="8"/>
      <c r="C41" s="9"/>
      <c r="D41" s="10"/>
    </row>
    <row r="42">
      <c r="A42" s="8"/>
      <c r="C42" s="9"/>
      <c r="D42" s="10"/>
    </row>
    <row r="43">
      <c r="A43" s="8"/>
      <c r="D43" s="10"/>
    </row>
    <row r="44">
      <c r="A44" s="8"/>
      <c r="D44" s="10"/>
    </row>
    <row r="45">
      <c r="A45" s="8"/>
      <c r="D45" s="10"/>
    </row>
    <row r="46">
      <c r="A46" s="8"/>
      <c r="D46" s="10"/>
    </row>
    <row r="47">
      <c r="A47" s="8"/>
      <c r="D47" s="10"/>
    </row>
    <row r="48">
      <c r="A48" s="8"/>
      <c r="D48" s="10"/>
    </row>
    <row r="49">
      <c r="A49" s="8"/>
      <c r="D49" s="10"/>
    </row>
    <row r="50">
      <c r="A50" s="8"/>
      <c r="D50" s="10"/>
    </row>
    <row r="51">
      <c r="A51" s="8"/>
      <c r="D51" s="10"/>
    </row>
    <row r="52">
      <c r="A52" s="8"/>
      <c r="D52" s="10"/>
    </row>
    <row r="53">
      <c r="A53" s="8"/>
      <c r="D53" s="10"/>
    </row>
    <row r="54">
      <c r="A54" s="8"/>
      <c r="D54" s="10"/>
    </row>
    <row r="55">
      <c r="A55" s="8"/>
      <c r="D55" s="10"/>
    </row>
    <row r="56">
      <c r="A56" s="8"/>
      <c r="D56" s="10"/>
    </row>
    <row r="57">
      <c r="A57" s="8"/>
      <c r="D57" s="10"/>
    </row>
    <row r="58">
      <c r="A58" s="8"/>
      <c r="D58" s="10"/>
    </row>
    <row r="59">
      <c r="A59" s="8"/>
      <c r="D59" s="10"/>
    </row>
    <row r="60">
      <c r="A60" s="8"/>
      <c r="D60" s="10"/>
    </row>
    <row r="61">
      <c r="A61" s="8"/>
      <c r="D61" s="10"/>
    </row>
    <row r="62">
      <c r="A62" s="8"/>
      <c r="D62" s="10"/>
    </row>
    <row r="63">
      <c r="A63" s="8"/>
      <c r="D63" s="10"/>
    </row>
    <row r="64">
      <c r="A64" s="8"/>
      <c r="D64" s="10"/>
    </row>
    <row r="65">
      <c r="A65" s="8"/>
      <c r="D65" s="10"/>
    </row>
    <row r="66">
      <c r="A66" s="8"/>
      <c r="D66" s="10"/>
    </row>
    <row r="67">
      <c r="A67" s="8"/>
      <c r="D67" s="10"/>
    </row>
    <row r="68">
      <c r="A68" s="8"/>
      <c r="D68" s="10"/>
    </row>
    <row r="69">
      <c r="A69" s="8"/>
      <c r="D69" s="10"/>
    </row>
    <row r="70">
      <c r="A70" s="8"/>
      <c r="D70" s="10"/>
    </row>
    <row r="71">
      <c r="A71" s="8"/>
      <c r="D71" s="10"/>
    </row>
    <row r="72">
      <c r="A72" s="8"/>
      <c r="D72" s="10"/>
    </row>
    <row r="73">
      <c r="A73" s="8"/>
      <c r="D73" s="10"/>
    </row>
    <row r="74">
      <c r="A74" s="8"/>
      <c r="D74" s="10"/>
    </row>
    <row r="75">
      <c r="A75" s="8"/>
      <c r="D75" s="10"/>
    </row>
    <row r="76">
      <c r="A76" s="8"/>
      <c r="D76" s="10"/>
    </row>
    <row r="77">
      <c r="A77" s="8"/>
      <c r="D77" s="10"/>
    </row>
    <row r="78">
      <c r="A78" s="8"/>
      <c r="D78" s="10"/>
    </row>
    <row r="79">
      <c r="A79" s="8"/>
      <c r="D79" s="10"/>
    </row>
    <row r="80">
      <c r="A80" s="8"/>
      <c r="D80" s="10"/>
    </row>
    <row r="81">
      <c r="A81" s="8"/>
      <c r="D81" s="10"/>
    </row>
    <row r="82">
      <c r="A82" s="8"/>
      <c r="D82" s="10"/>
    </row>
    <row r="83">
      <c r="A83" s="8"/>
      <c r="D83" s="10"/>
    </row>
    <row r="84">
      <c r="A84" s="8"/>
      <c r="D84" s="10"/>
    </row>
    <row r="85">
      <c r="A85" s="8"/>
      <c r="D85" s="10"/>
    </row>
    <row r="86">
      <c r="A86" s="8"/>
      <c r="D86" s="10"/>
    </row>
    <row r="87">
      <c r="A87" s="8"/>
      <c r="D87" s="10"/>
    </row>
    <row r="88">
      <c r="A88" s="8"/>
      <c r="D88" s="10"/>
    </row>
    <row r="89">
      <c r="A89" s="8"/>
      <c r="D89" s="10"/>
    </row>
    <row r="90">
      <c r="A90" s="8"/>
      <c r="D90" s="10"/>
    </row>
    <row r="91">
      <c r="A91" s="8"/>
      <c r="D91" s="10"/>
    </row>
    <row r="92">
      <c r="A92" s="8"/>
      <c r="D92" s="10"/>
    </row>
    <row r="93">
      <c r="A93" s="8"/>
      <c r="D93" s="10"/>
    </row>
    <row r="94">
      <c r="A94" s="8"/>
      <c r="D94" s="10"/>
    </row>
    <row r="95">
      <c r="A95" s="8"/>
      <c r="D95" s="10"/>
    </row>
    <row r="96">
      <c r="A96" s="8"/>
      <c r="D96" s="10"/>
    </row>
    <row r="97">
      <c r="A97" s="8"/>
      <c r="D97" s="10"/>
    </row>
    <row r="98">
      <c r="A98" s="8"/>
      <c r="D98" s="10"/>
    </row>
    <row r="99">
      <c r="A99" s="8"/>
      <c r="D99" s="10"/>
    </row>
    <row r="100">
      <c r="A100" s="8"/>
      <c r="D100" s="10"/>
    </row>
    <row r="101">
      <c r="A101" s="8"/>
      <c r="D101" s="10"/>
    </row>
    <row r="102">
      <c r="A102" s="8"/>
      <c r="D102" s="10"/>
    </row>
    <row r="103">
      <c r="A103" s="8"/>
      <c r="D103" s="10"/>
    </row>
    <row r="104">
      <c r="A104" s="8"/>
      <c r="D104" s="10"/>
    </row>
    <row r="105">
      <c r="A105" s="8"/>
      <c r="D105" s="10"/>
    </row>
    <row r="106">
      <c r="A106" s="8"/>
      <c r="D106" s="10"/>
    </row>
    <row r="107">
      <c r="A107" s="8"/>
      <c r="D107" s="10"/>
    </row>
    <row r="108">
      <c r="A108" s="8"/>
      <c r="D108" s="10"/>
    </row>
    <row r="109">
      <c r="A109" s="8"/>
      <c r="D109" s="10"/>
    </row>
    <row r="110">
      <c r="A110" s="8"/>
      <c r="D110" s="10"/>
    </row>
    <row r="111">
      <c r="A111" s="8"/>
      <c r="D111" s="10"/>
    </row>
    <row r="112">
      <c r="A112" s="8"/>
      <c r="D112" s="10"/>
    </row>
    <row r="113">
      <c r="A113" s="8"/>
      <c r="D113" s="10"/>
    </row>
    <row r="114">
      <c r="A114" s="8"/>
      <c r="D114" s="10"/>
    </row>
    <row r="115">
      <c r="A115" s="8"/>
      <c r="D115" s="10"/>
    </row>
    <row r="116">
      <c r="A116" s="8"/>
      <c r="D116" s="10"/>
    </row>
    <row r="117">
      <c r="A117" s="8"/>
      <c r="D117" s="10"/>
    </row>
    <row r="118">
      <c r="A118" s="8"/>
      <c r="D118" s="10"/>
    </row>
    <row r="119">
      <c r="A119" s="8"/>
      <c r="D119" s="10"/>
    </row>
    <row r="120">
      <c r="A120" s="8"/>
      <c r="D120" s="10"/>
    </row>
    <row r="121">
      <c r="A121" s="8"/>
      <c r="D121" s="10"/>
    </row>
    <row r="122">
      <c r="A122" s="8"/>
      <c r="D122" s="10"/>
    </row>
    <row r="123">
      <c r="A123" s="8"/>
      <c r="D123" s="10"/>
    </row>
    <row r="124">
      <c r="A124" s="8"/>
      <c r="D124" s="10"/>
    </row>
    <row r="125">
      <c r="A125" s="8"/>
      <c r="D125" s="10"/>
    </row>
    <row r="126">
      <c r="A126" s="8"/>
      <c r="D126" s="10"/>
    </row>
    <row r="127">
      <c r="A127" s="8"/>
      <c r="D127" s="10"/>
    </row>
    <row r="128">
      <c r="A128" s="8"/>
      <c r="D128" s="10"/>
    </row>
    <row r="129">
      <c r="A129" s="8"/>
      <c r="D129" s="10"/>
    </row>
    <row r="130">
      <c r="A130" s="8"/>
      <c r="D130" s="10"/>
    </row>
    <row r="131">
      <c r="A131" s="8"/>
      <c r="D131" s="10"/>
    </row>
    <row r="132">
      <c r="A132" s="8"/>
      <c r="D132" s="10"/>
    </row>
    <row r="133">
      <c r="A133" s="8"/>
      <c r="D133" s="10"/>
    </row>
    <row r="134">
      <c r="A134" s="8"/>
      <c r="D134" s="10"/>
    </row>
    <row r="135">
      <c r="A135" s="8"/>
      <c r="D135" s="10"/>
    </row>
    <row r="136">
      <c r="A136" s="8"/>
      <c r="D136" s="10"/>
    </row>
    <row r="137">
      <c r="A137" s="8"/>
      <c r="D137" s="10"/>
    </row>
    <row r="138">
      <c r="A138" s="8"/>
      <c r="D138" s="10"/>
    </row>
    <row r="139">
      <c r="A139" s="8"/>
      <c r="D139" s="10"/>
    </row>
    <row r="140">
      <c r="A140" s="8"/>
      <c r="D140" s="10"/>
    </row>
    <row r="141">
      <c r="A141" s="8"/>
      <c r="D141" s="10"/>
    </row>
    <row r="142">
      <c r="A142" s="8"/>
      <c r="D142" s="10"/>
    </row>
    <row r="143">
      <c r="A143" s="8"/>
      <c r="D143" s="10"/>
    </row>
    <row r="144">
      <c r="A144" s="8"/>
      <c r="D144" s="10"/>
    </row>
    <row r="145">
      <c r="A145" s="8"/>
      <c r="D145" s="10"/>
    </row>
    <row r="146">
      <c r="A146" s="8"/>
      <c r="D146" s="10"/>
    </row>
    <row r="147">
      <c r="A147" s="8"/>
      <c r="D147" s="10"/>
    </row>
    <row r="148">
      <c r="A148" s="8"/>
      <c r="D148" s="10"/>
    </row>
    <row r="149">
      <c r="A149" s="8"/>
      <c r="D149" s="10"/>
    </row>
    <row r="150">
      <c r="A150" s="8"/>
      <c r="D150" s="10"/>
    </row>
    <row r="151">
      <c r="A151" s="8"/>
      <c r="D151" s="10"/>
    </row>
    <row r="152">
      <c r="A152" s="8"/>
      <c r="D152" s="10"/>
    </row>
    <row r="153">
      <c r="A153" s="8"/>
      <c r="D153" s="10"/>
    </row>
    <row r="154">
      <c r="A154" s="8"/>
      <c r="D154" s="10"/>
    </row>
    <row r="155">
      <c r="A155" s="8"/>
      <c r="D155" s="10"/>
    </row>
    <row r="156">
      <c r="A156" s="8"/>
      <c r="D156" s="10"/>
    </row>
    <row r="157">
      <c r="A157" s="8"/>
      <c r="D157" s="10"/>
    </row>
    <row r="158">
      <c r="A158" s="8"/>
      <c r="D158" s="10"/>
    </row>
    <row r="159">
      <c r="A159" s="8"/>
      <c r="D159" s="10"/>
    </row>
    <row r="160">
      <c r="A160" s="8"/>
      <c r="D160" s="10"/>
    </row>
    <row r="161">
      <c r="A161" s="8"/>
      <c r="D161" s="10"/>
    </row>
    <row r="162">
      <c r="A162" s="8"/>
      <c r="D162" s="10"/>
    </row>
    <row r="163">
      <c r="A163" s="8"/>
      <c r="D163" s="10"/>
    </row>
    <row r="164">
      <c r="A164" s="8"/>
      <c r="D164" s="10"/>
    </row>
    <row r="165">
      <c r="A165" s="8"/>
      <c r="D165" s="10"/>
    </row>
    <row r="166">
      <c r="A166" s="8"/>
      <c r="D166" s="10"/>
    </row>
    <row r="167">
      <c r="A167" s="8"/>
      <c r="D167" s="10"/>
    </row>
    <row r="168">
      <c r="A168" s="8"/>
      <c r="D168" s="10"/>
    </row>
    <row r="169">
      <c r="A169" s="8"/>
      <c r="D169" s="10"/>
    </row>
    <row r="170">
      <c r="A170" s="8"/>
      <c r="D170" s="10"/>
    </row>
    <row r="171">
      <c r="A171" s="8"/>
      <c r="D171" s="10"/>
    </row>
    <row r="172">
      <c r="A172" s="8"/>
      <c r="D172" s="10"/>
    </row>
    <row r="173">
      <c r="A173" s="8"/>
      <c r="D173" s="10"/>
    </row>
    <row r="174">
      <c r="A174" s="8"/>
      <c r="D174" s="10"/>
    </row>
    <row r="175">
      <c r="A175" s="8"/>
      <c r="D175" s="10"/>
    </row>
    <row r="176">
      <c r="A176" s="8"/>
      <c r="D176" s="10"/>
    </row>
    <row r="177">
      <c r="A177" s="8"/>
      <c r="D177" s="10"/>
    </row>
    <row r="178">
      <c r="A178" s="8"/>
      <c r="D178" s="10"/>
    </row>
    <row r="179">
      <c r="A179" s="8"/>
      <c r="D179" s="10"/>
    </row>
    <row r="180">
      <c r="A180" s="8"/>
      <c r="D180" s="10"/>
    </row>
    <row r="181">
      <c r="A181" s="8"/>
      <c r="D181" s="10"/>
    </row>
    <row r="182">
      <c r="A182" s="8"/>
      <c r="D182" s="10"/>
    </row>
    <row r="183">
      <c r="A183" s="8"/>
      <c r="D183" s="10"/>
    </row>
    <row r="184">
      <c r="A184" s="8"/>
      <c r="D184" s="10"/>
    </row>
    <row r="185">
      <c r="A185" s="8"/>
      <c r="D185" s="10"/>
    </row>
    <row r="186">
      <c r="A186" s="8"/>
      <c r="D186" s="10"/>
    </row>
    <row r="187">
      <c r="A187" s="8"/>
      <c r="D187" s="10"/>
    </row>
    <row r="188">
      <c r="A188" s="8"/>
      <c r="D188" s="10"/>
    </row>
    <row r="189">
      <c r="A189" s="8"/>
      <c r="D189" s="10"/>
    </row>
    <row r="190">
      <c r="A190" s="8"/>
      <c r="D190" s="10"/>
    </row>
    <row r="191">
      <c r="A191" s="8"/>
      <c r="D191" s="10"/>
    </row>
    <row r="192">
      <c r="A192" s="8"/>
      <c r="D192" s="10"/>
    </row>
    <row r="193">
      <c r="A193" s="8"/>
      <c r="D193" s="10"/>
    </row>
    <row r="194">
      <c r="A194" s="8"/>
      <c r="D194" s="10"/>
    </row>
    <row r="195">
      <c r="A195" s="8"/>
      <c r="D195" s="10"/>
    </row>
    <row r="196">
      <c r="A196" s="8"/>
      <c r="D196" s="10"/>
    </row>
    <row r="197">
      <c r="A197" s="8"/>
      <c r="D197" s="10"/>
    </row>
    <row r="198">
      <c r="A198" s="8"/>
      <c r="D198" s="10"/>
    </row>
    <row r="199">
      <c r="A199" s="8"/>
      <c r="D199" s="10"/>
    </row>
    <row r="200">
      <c r="A200" s="8"/>
      <c r="D200" s="10"/>
    </row>
    <row r="201">
      <c r="A201" s="8"/>
      <c r="D201" s="10"/>
    </row>
    <row r="202">
      <c r="A202" s="8"/>
      <c r="D202" s="10"/>
    </row>
    <row r="203">
      <c r="A203" s="8"/>
      <c r="D203" s="10"/>
    </row>
    <row r="204">
      <c r="A204" s="8"/>
      <c r="D204" s="10"/>
    </row>
    <row r="205">
      <c r="A205" s="8"/>
      <c r="D205" s="10"/>
    </row>
    <row r="206">
      <c r="A206" s="8"/>
      <c r="D206" s="10"/>
    </row>
    <row r="207">
      <c r="A207" s="8"/>
      <c r="D207" s="10"/>
    </row>
    <row r="208">
      <c r="A208" s="8"/>
      <c r="D208" s="10"/>
    </row>
    <row r="209">
      <c r="A209" s="8"/>
      <c r="D209" s="10"/>
    </row>
    <row r="210">
      <c r="A210" s="8"/>
      <c r="D210" s="10"/>
    </row>
    <row r="211">
      <c r="A211" s="8"/>
      <c r="D211" s="10"/>
    </row>
    <row r="212">
      <c r="A212" s="8"/>
      <c r="D212" s="10"/>
    </row>
    <row r="213">
      <c r="A213" s="8"/>
      <c r="D213" s="10"/>
    </row>
    <row r="214">
      <c r="A214" s="8"/>
      <c r="D214" s="10"/>
    </row>
    <row r="215">
      <c r="A215" s="8"/>
      <c r="D215" s="10"/>
    </row>
    <row r="216">
      <c r="A216" s="8"/>
      <c r="D216" s="10"/>
    </row>
    <row r="217">
      <c r="A217" s="8"/>
      <c r="D217" s="10"/>
    </row>
    <row r="218">
      <c r="A218" s="8"/>
      <c r="D218" s="10"/>
    </row>
    <row r="219">
      <c r="A219" s="8"/>
      <c r="D219" s="10"/>
    </row>
    <row r="220">
      <c r="A220" s="8"/>
      <c r="D220" s="10"/>
    </row>
    <row r="221">
      <c r="A221" s="8"/>
      <c r="D221" s="10"/>
    </row>
    <row r="222">
      <c r="A222" s="8"/>
      <c r="D222" s="10"/>
    </row>
    <row r="223">
      <c r="A223" s="8"/>
      <c r="D223" s="10"/>
    </row>
    <row r="224">
      <c r="A224" s="8"/>
      <c r="D224" s="10"/>
    </row>
    <row r="225">
      <c r="A225" s="8"/>
      <c r="D225" s="10"/>
    </row>
    <row r="226">
      <c r="A226" s="8"/>
      <c r="D226" s="10"/>
    </row>
    <row r="227">
      <c r="A227" s="8"/>
      <c r="D227" s="10"/>
    </row>
    <row r="228">
      <c r="A228" s="8"/>
      <c r="D228" s="10"/>
    </row>
    <row r="229">
      <c r="A229" s="8"/>
      <c r="D229" s="10"/>
    </row>
    <row r="230">
      <c r="A230" s="8"/>
      <c r="D230" s="10"/>
    </row>
    <row r="231">
      <c r="A231" s="8"/>
      <c r="D231" s="10"/>
    </row>
    <row r="232">
      <c r="A232" s="8"/>
      <c r="D232" s="10"/>
    </row>
    <row r="233">
      <c r="A233" s="8"/>
      <c r="D233" s="10"/>
    </row>
    <row r="234">
      <c r="A234" s="8"/>
      <c r="D234" s="10"/>
    </row>
    <row r="235">
      <c r="A235" s="8"/>
      <c r="D235" s="10"/>
    </row>
    <row r="236">
      <c r="A236" s="8"/>
      <c r="D236" s="10"/>
    </row>
    <row r="237">
      <c r="A237" s="8"/>
      <c r="D237" s="10"/>
    </row>
    <row r="238">
      <c r="A238" s="8"/>
      <c r="D238" s="10"/>
    </row>
    <row r="239">
      <c r="A239" s="8"/>
      <c r="D239" s="10"/>
    </row>
    <row r="240">
      <c r="A240" s="8"/>
      <c r="D240" s="10"/>
    </row>
    <row r="241">
      <c r="A241" s="8"/>
      <c r="D241" s="10"/>
    </row>
    <row r="242">
      <c r="A242" s="8"/>
      <c r="D242" s="10"/>
    </row>
    <row r="243">
      <c r="A243" s="8"/>
      <c r="D243" s="10"/>
    </row>
    <row r="244">
      <c r="A244" s="8"/>
      <c r="D244" s="10"/>
    </row>
    <row r="245">
      <c r="A245" s="8"/>
      <c r="D245" s="10"/>
    </row>
    <row r="246">
      <c r="A246" s="8"/>
      <c r="D246" s="10"/>
    </row>
    <row r="247">
      <c r="A247" s="8"/>
      <c r="D247" s="10"/>
    </row>
    <row r="248">
      <c r="A248" s="8"/>
      <c r="D248" s="10"/>
    </row>
    <row r="249">
      <c r="A249" s="8"/>
      <c r="D249" s="10"/>
    </row>
    <row r="250">
      <c r="A250" s="8"/>
      <c r="D250" s="10"/>
    </row>
    <row r="251">
      <c r="A251" s="8"/>
      <c r="D251" s="10"/>
    </row>
    <row r="252">
      <c r="A252" s="8"/>
      <c r="D252" s="10"/>
    </row>
    <row r="253">
      <c r="A253" s="8"/>
      <c r="D253" s="10"/>
    </row>
    <row r="254">
      <c r="A254" s="8"/>
      <c r="D254" s="10"/>
    </row>
    <row r="255">
      <c r="A255" s="8"/>
      <c r="D255" s="10"/>
    </row>
    <row r="256">
      <c r="A256" s="8"/>
      <c r="D256" s="10"/>
    </row>
    <row r="257">
      <c r="A257" s="8"/>
      <c r="D257" s="10"/>
    </row>
    <row r="258">
      <c r="A258" s="8"/>
      <c r="D258" s="10"/>
    </row>
    <row r="259">
      <c r="A259" s="8"/>
      <c r="D259" s="10"/>
    </row>
    <row r="260">
      <c r="A260" s="8"/>
      <c r="D260" s="10"/>
    </row>
    <row r="261">
      <c r="A261" s="8"/>
      <c r="D261" s="10"/>
    </row>
    <row r="262">
      <c r="A262" s="8"/>
      <c r="D262" s="10"/>
    </row>
    <row r="263">
      <c r="A263" s="8"/>
      <c r="D263" s="10"/>
    </row>
    <row r="264">
      <c r="A264" s="8"/>
      <c r="D264" s="10"/>
    </row>
    <row r="265">
      <c r="A265" s="8"/>
      <c r="D265" s="10"/>
    </row>
    <row r="266">
      <c r="A266" s="8"/>
      <c r="D266" s="10"/>
    </row>
    <row r="267">
      <c r="A267" s="8"/>
      <c r="D267" s="10"/>
    </row>
    <row r="268">
      <c r="A268" s="8"/>
      <c r="D268" s="10"/>
    </row>
    <row r="269">
      <c r="A269" s="8"/>
      <c r="D269" s="10"/>
    </row>
    <row r="270">
      <c r="A270" s="8"/>
      <c r="D270" s="10"/>
    </row>
    <row r="271">
      <c r="A271" s="8"/>
      <c r="D271" s="10"/>
    </row>
    <row r="272">
      <c r="A272" s="8"/>
      <c r="D272" s="10"/>
    </row>
    <row r="273">
      <c r="A273" s="8"/>
      <c r="D273" s="10"/>
    </row>
    <row r="274">
      <c r="A274" s="8"/>
      <c r="D274" s="10"/>
    </row>
    <row r="275">
      <c r="A275" s="8"/>
      <c r="D275" s="10"/>
    </row>
    <row r="276">
      <c r="A276" s="8"/>
      <c r="D276" s="10"/>
    </row>
    <row r="277">
      <c r="A277" s="8"/>
      <c r="D277" s="10"/>
    </row>
    <row r="278">
      <c r="A278" s="8"/>
      <c r="D278" s="10"/>
    </row>
    <row r="279">
      <c r="A279" s="8"/>
      <c r="D279" s="10"/>
    </row>
    <row r="280">
      <c r="A280" s="8"/>
      <c r="D280" s="10"/>
    </row>
    <row r="281">
      <c r="A281" s="8"/>
      <c r="D281" s="10"/>
    </row>
    <row r="282">
      <c r="A282" s="8"/>
      <c r="D282" s="10"/>
    </row>
    <row r="283">
      <c r="A283" s="8"/>
      <c r="D283" s="10"/>
    </row>
    <row r="284">
      <c r="A284" s="8"/>
      <c r="D284" s="10"/>
    </row>
    <row r="285">
      <c r="A285" s="8"/>
      <c r="D285" s="10"/>
    </row>
    <row r="286">
      <c r="A286" s="8"/>
      <c r="D286" s="10"/>
    </row>
    <row r="287">
      <c r="A287" s="8"/>
      <c r="D287" s="10"/>
    </row>
    <row r="288">
      <c r="A288" s="8"/>
      <c r="D288" s="10"/>
    </row>
    <row r="289">
      <c r="A289" s="8"/>
      <c r="D289" s="10"/>
    </row>
    <row r="290">
      <c r="A290" s="8"/>
      <c r="D290" s="10"/>
    </row>
    <row r="291">
      <c r="A291" s="8"/>
      <c r="D291" s="10"/>
    </row>
    <row r="292">
      <c r="A292" s="8"/>
      <c r="D292" s="10"/>
    </row>
    <row r="293">
      <c r="A293" s="8"/>
      <c r="D293" s="10"/>
    </row>
    <row r="294">
      <c r="A294" s="8"/>
      <c r="D294" s="10"/>
    </row>
    <row r="295">
      <c r="A295" s="8"/>
      <c r="D295" s="10"/>
    </row>
    <row r="296">
      <c r="A296" s="8"/>
      <c r="D296" s="10"/>
    </row>
    <row r="297">
      <c r="A297" s="8"/>
      <c r="D297" s="10"/>
    </row>
    <row r="298">
      <c r="A298" s="8"/>
      <c r="D298" s="10"/>
    </row>
    <row r="299">
      <c r="A299" s="8"/>
      <c r="D299" s="10"/>
    </row>
    <row r="300">
      <c r="A300" s="8"/>
      <c r="D300" s="10"/>
    </row>
    <row r="301">
      <c r="A301" s="8"/>
      <c r="D301" s="10"/>
    </row>
    <row r="302">
      <c r="A302" s="8"/>
      <c r="D302" s="10"/>
    </row>
    <row r="303">
      <c r="A303" s="8"/>
      <c r="D303" s="10"/>
    </row>
    <row r="304">
      <c r="A304" s="8"/>
      <c r="D304" s="10"/>
    </row>
    <row r="305">
      <c r="A305" s="8"/>
      <c r="D305" s="10"/>
    </row>
    <row r="306">
      <c r="A306" s="8"/>
      <c r="D306" s="10"/>
    </row>
    <row r="307">
      <c r="A307" s="8"/>
      <c r="D307" s="10"/>
    </row>
    <row r="308">
      <c r="A308" s="8"/>
      <c r="D308" s="10"/>
    </row>
    <row r="309">
      <c r="A309" s="8"/>
      <c r="D309" s="10"/>
    </row>
    <row r="310">
      <c r="A310" s="8"/>
      <c r="D310" s="10"/>
    </row>
    <row r="311">
      <c r="A311" s="8"/>
      <c r="D311" s="10"/>
    </row>
    <row r="312">
      <c r="A312" s="8"/>
      <c r="D312" s="10"/>
    </row>
    <row r="313">
      <c r="A313" s="8"/>
      <c r="D313" s="10"/>
    </row>
    <row r="314">
      <c r="A314" s="8"/>
      <c r="D314" s="10"/>
    </row>
    <row r="315">
      <c r="A315" s="8"/>
      <c r="D315" s="10"/>
    </row>
    <row r="316">
      <c r="A316" s="8"/>
      <c r="D316" s="10"/>
    </row>
    <row r="317">
      <c r="A317" s="8"/>
      <c r="D317" s="10"/>
    </row>
    <row r="318">
      <c r="A318" s="8"/>
      <c r="D318" s="10"/>
    </row>
    <row r="319">
      <c r="A319" s="8"/>
      <c r="D319" s="10"/>
    </row>
    <row r="320">
      <c r="A320" s="8"/>
      <c r="D320" s="10"/>
    </row>
    <row r="321">
      <c r="A321" s="8"/>
      <c r="D321" s="10"/>
    </row>
    <row r="322">
      <c r="A322" s="8"/>
      <c r="D322" s="10"/>
    </row>
    <row r="323">
      <c r="A323" s="8"/>
      <c r="D323" s="10"/>
    </row>
    <row r="324">
      <c r="A324" s="8"/>
      <c r="D324" s="10"/>
    </row>
    <row r="325">
      <c r="A325" s="8"/>
      <c r="D325" s="10"/>
    </row>
    <row r="326">
      <c r="A326" s="8"/>
      <c r="D326" s="10"/>
    </row>
    <row r="327">
      <c r="A327" s="8"/>
      <c r="D327" s="10"/>
    </row>
    <row r="328">
      <c r="A328" s="8"/>
      <c r="D328" s="10"/>
    </row>
    <row r="329">
      <c r="A329" s="8"/>
      <c r="D329" s="10"/>
    </row>
    <row r="330">
      <c r="A330" s="8"/>
      <c r="D330" s="10"/>
    </row>
    <row r="331">
      <c r="A331" s="8"/>
      <c r="D331" s="10"/>
    </row>
    <row r="332">
      <c r="A332" s="8"/>
      <c r="D332" s="10"/>
    </row>
    <row r="333">
      <c r="A333" s="8"/>
      <c r="D333" s="10"/>
    </row>
    <row r="334">
      <c r="A334" s="8"/>
      <c r="D334" s="10"/>
    </row>
    <row r="335">
      <c r="A335" s="8"/>
      <c r="D335" s="10"/>
    </row>
    <row r="336">
      <c r="A336" s="8"/>
      <c r="D336" s="10"/>
    </row>
    <row r="337">
      <c r="A337" s="8"/>
      <c r="D337" s="10"/>
    </row>
    <row r="338">
      <c r="A338" s="8"/>
      <c r="D338" s="10"/>
    </row>
    <row r="339">
      <c r="A339" s="8"/>
      <c r="D339" s="10"/>
    </row>
    <row r="340">
      <c r="A340" s="8"/>
      <c r="D340" s="10"/>
    </row>
    <row r="341">
      <c r="A341" s="8"/>
      <c r="D341" s="10"/>
    </row>
    <row r="342">
      <c r="A342" s="8"/>
      <c r="D342" s="10"/>
    </row>
    <row r="343">
      <c r="A343" s="8"/>
      <c r="D343" s="10"/>
    </row>
    <row r="344">
      <c r="A344" s="8"/>
      <c r="D344" s="10"/>
    </row>
    <row r="345">
      <c r="A345" s="8"/>
      <c r="D345" s="10"/>
    </row>
    <row r="346">
      <c r="A346" s="8"/>
      <c r="D346" s="10"/>
    </row>
    <row r="347">
      <c r="A347" s="8"/>
      <c r="D347" s="10"/>
    </row>
    <row r="348">
      <c r="A348" s="8"/>
      <c r="D348" s="10"/>
    </row>
    <row r="349">
      <c r="A349" s="8"/>
      <c r="D349" s="10"/>
    </row>
    <row r="350">
      <c r="A350" s="8"/>
      <c r="D350" s="10"/>
    </row>
    <row r="351">
      <c r="A351" s="8"/>
      <c r="D351" s="10"/>
    </row>
    <row r="352">
      <c r="A352" s="8"/>
      <c r="D352" s="10"/>
    </row>
    <row r="353">
      <c r="A353" s="8"/>
      <c r="D353" s="10"/>
    </row>
    <row r="354">
      <c r="A354" s="8"/>
      <c r="D354" s="10"/>
    </row>
    <row r="355">
      <c r="A355" s="8"/>
      <c r="D355" s="10"/>
    </row>
    <row r="356">
      <c r="A356" s="8"/>
      <c r="D356" s="10"/>
    </row>
    <row r="357">
      <c r="A357" s="8"/>
      <c r="D357" s="10"/>
    </row>
    <row r="358">
      <c r="A358" s="8"/>
      <c r="D358" s="10"/>
    </row>
    <row r="359">
      <c r="A359" s="8"/>
      <c r="D359" s="10"/>
    </row>
    <row r="360">
      <c r="A360" s="8"/>
      <c r="D360" s="10"/>
    </row>
    <row r="361">
      <c r="A361" s="8"/>
      <c r="D361" s="10"/>
    </row>
    <row r="362">
      <c r="A362" s="8"/>
      <c r="D362" s="10"/>
    </row>
    <row r="363">
      <c r="A363" s="8"/>
      <c r="D363" s="10"/>
    </row>
    <row r="364">
      <c r="A364" s="8"/>
      <c r="D364" s="10"/>
    </row>
    <row r="365">
      <c r="A365" s="8"/>
      <c r="D365" s="10"/>
    </row>
    <row r="366">
      <c r="A366" s="8"/>
      <c r="D366" s="10"/>
    </row>
    <row r="367">
      <c r="A367" s="8"/>
      <c r="D367" s="10"/>
    </row>
    <row r="368">
      <c r="A368" s="8"/>
      <c r="D368" s="10"/>
    </row>
    <row r="369">
      <c r="A369" s="8"/>
      <c r="D369" s="10"/>
    </row>
    <row r="370">
      <c r="A370" s="8"/>
      <c r="D370" s="10"/>
    </row>
    <row r="371">
      <c r="A371" s="8"/>
      <c r="D371" s="10"/>
    </row>
    <row r="372">
      <c r="A372" s="8"/>
      <c r="D372" s="10"/>
    </row>
    <row r="373">
      <c r="A373" s="8"/>
      <c r="D373" s="10"/>
    </row>
    <row r="374">
      <c r="A374" s="8"/>
      <c r="D374" s="10"/>
    </row>
    <row r="375">
      <c r="A375" s="8"/>
      <c r="D375" s="10"/>
    </row>
    <row r="376">
      <c r="A376" s="8"/>
      <c r="D376" s="10"/>
    </row>
    <row r="377">
      <c r="A377" s="8"/>
      <c r="D377" s="10"/>
    </row>
    <row r="378">
      <c r="A378" s="8"/>
      <c r="D378" s="10"/>
    </row>
    <row r="379">
      <c r="A379" s="8"/>
      <c r="D379" s="10"/>
    </row>
    <row r="380">
      <c r="A380" s="8"/>
      <c r="D380" s="10"/>
    </row>
    <row r="381">
      <c r="A381" s="8"/>
      <c r="D381" s="10"/>
    </row>
    <row r="382">
      <c r="A382" s="8"/>
      <c r="D382" s="10"/>
    </row>
    <row r="383">
      <c r="A383" s="8"/>
      <c r="D383" s="10"/>
    </row>
    <row r="384">
      <c r="A384" s="8"/>
      <c r="D384" s="10"/>
    </row>
    <row r="385">
      <c r="A385" s="8"/>
      <c r="D385" s="10"/>
    </row>
    <row r="386">
      <c r="A386" s="8"/>
      <c r="D386" s="10"/>
    </row>
    <row r="387">
      <c r="A387" s="8"/>
      <c r="D387" s="10"/>
    </row>
    <row r="388">
      <c r="A388" s="8"/>
      <c r="D388" s="10"/>
    </row>
    <row r="389">
      <c r="A389" s="8"/>
      <c r="D389" s="10"/>
    </row>
    <row r="390">
      <c r="A390" s="8"/>
      <c r="D390" s="10"/>
    </row>
    <row r="391">
      <c r="A391" s="8"/>
      <c r="D391" s="10"/>
    </row>
    <row r="392">
      <c r="A392" s="8"/>
      <c r="D392" s="10"/>
    </row>
    <row r="393">
      <c r="A393" s="8"/>
      <c r="D393" s="10"/>
    </row>
    <row r="394">
      <c r="A394" s="8"/>
      <c r="D394" s="10"/>
    </row>
    <row r="395">
      <c r="A395" s="8"/>
      <c r="D395" s="10"/>
    </row>
    <row r="396">
      <c r="A396" s="8"/>
      <c r="D396" s="10"/>
    </row>
    <row r="397">
      <c r="A397" s="8"/>
      <c r="D397" s="10"/>
    </row>
    <row r="398">
      <c r="A398" s="8"/>
      <c r="D398" s="10"/>
    </row>
    <row r="399">
      <c r="A399" s="8"/>
      <c r="D399" s="10"/>
    </row>
    <row r="400">
      <c r="A400" s="8"/>
      <c r="D400" s="10"/>
    </row>
    <row r="401">
      <c r="A401" s="8"/>
      <c r="D401" s="10"/>
    </row>
    <row r="402">
      <c r="A402" s="8"/>
      <c r="D402" s="10"/>
    </row>
    <row r="403">
      <c r="A403" s="8"/>
      <c r="D403" s="10"/>
    </row>
    <row r="404">
      <c r="A404" s="8"/>
      <c r="D404" s="10"/>
    </row>
    <row r="405">
      <c r="A405" s="8"/>
      <c r="D405" s="10"/>
    </row>
    <row r="406">
      <c r="A406" s="8"/>
      <c r="D406" s="10"/>
    </row>
    <row r="407">
      <c r="A407" s="8"/>
      <c r="D407" s="10"/>
    </row>
    <row r="408">
      <c r="A408" s="8"/>
      <c r="D408" s="10"/>
    </row>
    <row r="409">
      <c r="A409" s="8"/>
      <c r="D409" s="10"/>
    </row>
    <row r="410">
      <c r="A410" s="8"/>
      <c r="D410" s="10"/>
    </row>
    <row r="411">
      <c r="A411" s="8"/>
      <c r="D411" s="10"/>
    </row>
    <row r="412">
      <c r="A412" s="8"/>
      <c r="D412" s="10"/>
    </row>
    <row r="413">
      <c r="A413" s="8"/>
      <c r="D413" s="10"/>
    </row>
    <row r="414">
      <c r="A414" s="8"/>
      <c r="D414" s="10"/>
    </row>
    <row r="415">
      <c r="A415" s="8"/>
      <c r="D415" s="10"/>
    </row>
    <row r="416">
      <c r="A416" s="8"/>
      <c r="D416" s="10"/>
    </row>
    <row r="417">
      <c r="A417" s="8"/>
      <c r="D417" s="10"/>
    </row>
    <row r="418">
      <c r="A418" s="8"/>
      <c r="D418" s="10"/>
    </row>
    <row r="419">
      <c r="A419" s="8"/>
      <c r="D419" s="10"/>
    </row>
    <row r="420">
      <c r="A420" s="8"/>
      <c r="D420" s="10"/>
    </row>
    <row r="421">
      <c r="A421" s="8"/>
      <c r="D421" s="10"/>
    </row>
    <row r="422">
      <c r="A422" s="8"/>
      <c r="D422" s="10"/>
    </row>
    <row r="423">
      <c r="A423" s="8"/>
      <c r="D423" s="10"/>
    </row>
    <row r="424">
      <c r="A424" s="8"/>
      <c r="D424" s="10"/>
    </row>
    <row r="425">
      <c r="A425" s="8"/>
      <c r="D425" s="10"/>
    </row>
    <row r="426">
      <c r="A426" s="8"/>
      <c r="D426" s="10"/>
    </row>
    <row r="427">
      <c r="A427" s="8"/>
      <c r="D427" s="10"/>
    </row>
    <row r="428">
      <c r="A428" s="8"/>
      <c r="D428" s="10"/>
    </row>
    <row r="429">
      <c r="A429" s="8"/>
      <c r="D429" s="10"/>
    </row>
    <row r="430">
      <c r="A430" s="8"/>
      <c r="D430" s="10"/>
    </row>
    <row r="431">
      <c r="A431" s="8"/>
      <c r="D431" s="10"/>
    </row>
    <row r="432">
      <c r="A432" s="8"/>
      <c r="D432" s="10"/>
    </row>
    <row r="433">
      <c r="A433" s="8"/>
      <c r="D433" s="10"/>
    </row>
    <row r="434">
      <c r="A434" s="8"/>
      <c r="D434" s="10"/>
    </row>
    <row r="435">
      <c r="A435" s="8"/>
      <c r="D435" s="10"/>
    </row>
    <row r="436">
      <c r="A436" s="8"/>
      <c r="D436" s="10"/>
    </row>
    <row r="437">
      <c r="A437" s="8"/>
      <c r="D437" s="10"/>
    </row>
    <row r="438">
      <c r="A438" s="8"/>
      <c r="D438" s="10"/>
    </row>
    <row r="439">
      <c r="A439" s="8"/>
      <c r="D439" s="10"/>
    </row>
    <row r="440">
      <c r="A440" s="8"/>
      <c r="D440" s="10"/>
    </row>
    <row r="441">
      <c r="A441" s="8"/>
      <c r="D441" s="10"/>
    </row>
    <row r="442">
      <c r="A442" s="8"/>
      <c r="D442" s="10"/>
    </row>
    <row r="443">
      <c r="A443" s="8"/>
      <c r="D443" s="10"/>
    </row>
    <row r="444">
      <c r="A444" s="8"/>
      <c r="D444" s="10"/>
    </row>
    <row r="445">
      <c r="A445" s="8"/>
      <c r="D445" s="10"/>
    </row>
    <row r="446">
      <c r="A446" s="8"/>
      <c r="D446" s="10"/>
    </row>
    <row r="447">
      <c r="A447" s="8"/>
      <c r="D447" s="10"/>
    </row>
    <row r="448">
      <c r="A448" s="8"/>
      <c r="D448" s="10"/>
    </row>
    <row r="449">
      <c r="A449" s="8"/>
      <c r="D449" s="10"/>
    </row>
    <row r="450">
      <c r="A450" s="8"/>
      <c r="D450" s="10"/>
    </row>
    <row r="451">
      <c r="A451" s="8"/>
      <c r="D451" s="10"/>
    </row>
    <row r="452">
      <c r="A452" s="8"/>
      <c r="D452" s="10"/>
    </row>
    <row r="453">
      <c r="A453" s="8"/>
      <c r="D453" s="10"/>
    </row>
    <row r="454">
      <c r="A454" s="8"/>
      <c r="D454" s="10"/>
    </row>
    <row r="455">
      <c r="A455" s="8"/>
      <c r="D455" s="10"/>
    </row>
    <row r="456">
      <c r="A456" s="8"/>
      <c r="D456" s="10"/>
    </row>
    <row r="457">
      <c r="A457" s="8"/>
      <c r="D457" s="10"/>
    </row>
    <row r="458">
      <c r="A458" s="8"/>
      <c r="D458" s="10"/>
    </row>
    <row r="459">
      <c r="A459" s="8"/>
      <c r="D459" s="10"/>
    </row>
    <row r="460">
      <c r="A460" s="8"/>
      <c r="D460" s="10"/>
    </row>
    <row r="461">
      <c r="A461" s="8"/>
      <c r="D461" s="10"/>
    </row>
    <row r="462">
      <c r="A462" s="8"/>
      <c r="D462" s="10"/>
    </row>
    <row r="463">
      <c r="A463" s="8"/>
      <c r="D463" s="10"/>
    </row>
    <row r="464">
      <c r="A464" s="8"/>
      <c r="D464" s="10"/>
    </row>
    <row r="465">
      <c r="A465" s="8"/>
      <c r="D465" s="10"/>
    </row>
    <row r="466">
      <c r="A466" s="8"/>
      <c r="D466" s="10"/>
    </row>
    <row r="467">
      <c r="A467" s="8"/>
      <c r="D467" s="10"/>
    </row>
    <row r="468">
      <c r="A468" s="8"/>
      <c r="D468" s="10"/>
    </row>
    <row r="469">
      <c r="A469" s="8"/>
      <c r="D469" s="10"/>
    </row>
    <row r="470">
      <c r="A470" s="8"/>
      <c r="D470" s="10"/>
    </row>
    <row r="471">
      <c r="A471" s="8"/>
      <c r="D471" s="10"/>
    </row>
    <row r="472">
      <c r="A472" s="8"/>
      <c r="D472" s="10"/>
    </row>
    <row r="473">
      <c r="A473" s="8"/>
      <c r="D473" s="10"/>
    </row>
    <row r="474">
      <c r="A474" s="8"/>
      <c r="D474" s="10"/>
    </row>
    <row r="475">
      <c r="A475" s="8"/>
      <c r="D475" s="10"/>
    </row>
    <row r="476">
      <c r="A476" s="8"/>
      <c r="D476" s="10"/>
    </row>
    <row r="477">
      <c r="A477" s="8"/>
      <c r="D477" s="10"/>
    </row>
    <row r="478">
      <c r="A478" s="8"/>
      <c r="D478" s="10"/>
    </row>
    <row r="479">
      <c r="A479" s="8"/>
      <c r="D479" s="10"/>
    </row>
    <row r="480">
      <c r="A480" s="8"/>
      <c r="D480" s="10"/>
    </row>
    <row r="481">
      <c r="A481" s="8"/>
      <c r="D481" s="10"/>
    </row>
    <row r="482">
      <c r="A482" s="8"/>
      <c r="D482" s="10"/>
    </row>
    <row r="483">
      <c r="A483" s="8"/>
      <c r="D483" s="10"/>
    </row>
    <row r="484">
      <c r="A484" s="8"/>
      <c r="D484" s="10"/>
    </row>
    <row r="485">
      <c r="A485" s="8"/>
      <c r="D485" s="10"/>
    </row>
    <row r="486">
      <c r="A486" s="8"/>
      <c r="D486" s="10"/>
    </row>
    <row r="487">
      <c r="A487" s="8"/>
      <c r="D487" s="10"/>
    </row>
    <row r="488">
      <c r="A488" s="8"/>
      <c r="D488" s="10"/>
    </row>
    <row r="489">
      <c r="A489" s="8"/>
      <c r="D489" s="10"/>
    </row>
    <row r="490">
      <c r="A490" s="8"/>
      <c r="D490" s="10"/>
    </row>
    <row r="491">
      <c r="A491" s="8"/>
      <c r="D491" s="10"/>
    </row>
    <row r="492">
      <c r="A492" s="8"/>
      <c r="D492" s="10"/>
    </row>
    <row r="493">
      <c r="A493" s="8"/>
      <c r="D493" s="10"/>
    </row>
    <row r="494">
      <c r="A494" s="8"/>
      <c r="D494" s="10"/>
    </row>
    <row r="495">
      <c r="A495" s="8"/>
      <c r="D495" s="10"/>
    </row>
    <row r="496">
      <c r="A496" s="8"/>
      <c r="D496" s="10"/>
    </row>
    <row r="497">
      <c r="A497" s="8"/>
      <c r="D497" s="10"/>
    </row>
    <row r="498">
      <c r="A498" s="8"/>
      <c r="D498" s="10"/>
    </row>
    <row r="499">
      <c r="A499" s="8"/>
      <c r="D499" s="10"/>
    </row>
    <row r="500">
      <c r="A500" s="8"/>
      <c r="D500" s="10"/>
    </row>
    <row r="501">
      <c r="A501" s="8"/>
      <c r="D501" s="10"/>
    </row>
    <row r="502">
      <c r="A502" s="8"/>
      <c r="D502" s="10"/>
    </row>
    <row r="503">
      <c r="A503" s="8"/>
      <c r="D503" s="10"/>
    </row>
    <row r="504">
      <c r="A504" s="8"/>
      <c r="D504" s="10"/>
    </row>
    <row r="505">
      <c r="A505" s="8"/>
      <c r="D505" s="10"/>
    </row>
    <row r="506">
      <c r="A506" s="8"/>
      <c r="D506" s="10"/>
    </row>
    <row r="507">
      <c r="A507" s="8"/>
      <c r="D507" s="10"/>
    </row>
    <row r="508">
      <c r="A508" s="8"/>
      <c r="D508" s="10"/>
    </row>
    <row r="509">
      <c r="A509" s="8"/>
      <c r="D509" s="10"/>
    </row>
    <row r="510">
      <c r="A510" s="8"/>
      <c r="D510" s="10"/>
    </row>
    <row r="511">
      <c r="A511" s="8"/>
      <c r="D511" s="10"/>
    </row>
    <row r="512">
      <c r="A512" s="8"/>
      <c r="D512" s="10"/>
    </row>
    <row r="513">
      <c r="A513" s="8"/>
      <c r="D513" s="10"/>
    </row>
    <row r="514">
      <c r="A514" s="8"/>
      <c r="D514" s="10"/>
    </row>
    <row r="515">
      <c r="A515" s="8"/>
      <c r="D515" s="10"/>
    </row>
    <row r="516">
      <c r="A516" s="8"/>
      <c r="D516" s="10"/>
    </row>
    <row r="517">
      <c r="A517" s="8"/>
      <c r="D517" s="10"/>
    </row>
    <row r="518">
      <c r="A518" s="8"/>
      <c r="D518" s="10"/>
    </row>
    <row r="519">
      <c r="A519" s="8"/>
      <c r="D519" s="10"/>
    </row>
    <row r="520">
      <c r="A520" s="8"/>
      <c r="D520" s="10"/>
    </row>
    <row r="521">
      <c r="A521" s="8"/>
      <c r="D521" s="10"/>
    </row>
    <row r="522">
      <c r="A522" s="8"/>
      <c r="D522" s="10"/>
    </row>
    <row r="523">
      <c r="A523" s="8"/>
      <c r="D523" s="10"/>
    </row>
    <row r="524">
      <c r="A524" s="8"/>
      <c r="D524" s="10"/>
    </row>
    <row r="525">
      <c r="A525" s="8"/>
      <c r="D525" s="10"/>
    </row>
    <row r="526">
      <c r="A526" s="8"/>
      <c r="D526" s="10"/>
    </row>
    <row r="527">
      <c r="A527" s="8"/>
      <c r="D527" s="10"/>
    </row>
    <row r="528">
      <c r="A528" s="8"/>
      <c r="D528" s="10"/>
    </row>
    <row r="529">
      <c r="A529" s="8"/>
      <c r="D529" s="10"/>
    </row>
    <row r="530">
      <c r="A530" s="8"/>
      <c r="D530" s="10"/>
    </row>
    <row r="531">
      <c r="A531" s="8"/>
      <c r="D531" s="10"/>
    </row>
    <row r="532">
      <c r="A532" s="8"/>
      <c r="D532" s="10"/>
    </row>
    <row r="533">
      <c r="A533" s="8"/>
      <c r="D533" s="10"/>
    </row>
    <row r="534">
      <c r="A534" s="8"/>
      <c r="D534" s="10"/>
    </row>
    <row r="535">
      <c r="A535" s="8"/>
      <c r="D535" s="10"/>
    </row>
    <row r="536">
      <c r="A536" s="8"/>
      <c r="D536" s="10"/>
    </row>
    <row r="537">
      <c r="A537" s="8"/>
      <c r="D537" s="10"/>
    </row>
    <row r="538">
      <c r="A538" s="8"/>
      <c r="D538" s="10"/>
    </row>
    <row r="539">
      <c r="A539" s="8"/>
      <c r="D539" s="10"/>
    </row>
    <row r="540">
      <c r="A540" s="8"/>
      <c r="D540" s="10"/>
    </row>
    <row r="541">
      <c r="A541" s="8"/>
      <c r="D541" s="10"/>
    </row>
    <row r="542">
      <c r="A542" s="8"/>
      <c r="D542" s="10"/>
    </row>
    <row r="543">
      <c r="A543" s="8"/>
      <c r="D543" s="10"/>
    </row>
    <row r="544">
      <c r="A544" s="8"/>
      <c r="D544" s="10"/>
    </row>
    <row r="545">
      <c r="A545" s="8"/>
      <c r="D545" s="10"/>
    </row>
    <row r="546">
      <c r="A546" s="8"/>
      <c r="D546" s="10"/>
    </row>
    <row r="547">
      <c r="A547" s="8"/>
      <c r="D547" s="10"/>
    </row>
    <row r="548">
      <c r="A548" s="8"/>
      <c r="D548" s="10"/>
    </row>
    <row r="549">
      <c r="A549" s="8"/>
      <c r="D549" s="10"/>
    </row>
    <row r="550">
      <c r="A550" s="8"/>
      <c r="D550" s="10"/>
    </row>
    <row r="551">
      <c r="A551" s="8"/>
      <c r="D551" s="10"/>
    </row>
    <row r="552">
      <c r="A552" s="8"/>
      <c r="D552" s="10"/>
    </row>
    <row r="553">
      <c r="A553" s="8"/>
      <c r="D553" s="10"/>
    </row>
    <row r="554">
      <c r="A554" s="8"/>
      <c r="D554" s="10"/>
    </row>
    <row r="555">
      <c r="A555" s="8"/>
      <c r="D555" s="10"/>
    </row>
    <row r="556">
      <c r="A556" s="8"/>
      <c r="D556" s="10"/>
    </row>
    <row r="557">
      <c r="A557" s="8"/>
      <c r="D557" s="10"/>
    </row>
    <row r="558">
      <c r="A558" s="8"/>
      <c r="D558" s="10"/>
    </row>
    <row r="559">
      <c r="A559" s="8"/>
      <c r="D559" s="10"/>
    </row>
    <row r="560">
      <c r="A560" s="8"/>
      <c r="D560" s="10"/>
    </row>
    <row r="561">
      <c r="A561" s="8"/>
      <c r="D561" s="10"/>
    </row>
    <row r="562">
      <c r="A562" s="8"/>
      <c r="D562" s="10"/>
    </row>
    <row r="563">
      <c r="A563" s="8"/>
      <c r="D563" s="10"/>
    </row>
    <row r="564">
      <c r="A564" s="8"/>
      <c r="D564" s="10"/>
    </row>
    <row r="565">
      <c r="A565" s="8"/>
      <c r="D565" s="10"/>
    </row>
    <row r="566">
      <c r="A566" s="8"/>
      <c r="D566" s="10"/>
    </row>
    <row r="567">
      <c r="A567" s="8"/>
      <c r="D567" s="10"/>
    </row>
    <row r="568">
      <c r="A568" s="8"/>
      <c r="D568" s="10"/>
    </row>
    <row r="569">
      <c r="A569" s="8"/>
      <c r="D569" s="10"/>
    </row>
    <row r="570">
      <c r="A570" s="8"/>
      <c r="D570" s="10"/>
    </row>
    <row r="571">
      <c r="A571" s="8"/>
      <c r="D571" s="10"/>
    </row>
    <row r="572">
      <c r="A572" s="8"/>
      <c r="D572" s="10"/>
    </row>
    <row r="573">
      <c r="A573" s="8"/>
      <c r="D573" s="10"/>
    </row>
    <row r="574">
      <c r="A574" s="8"/>
      <c r="D574" s="10"/>
    </row>
    <row r="575">
      <c r="A575" s="8"/>
      <c r="D575" s="10"/>
    </row>
    <row r="576">
      <c r="A576" s="8"/>
      <c r="D576" s="10"/>
    </row>
    <row r="577">
      <c r="A577" s="8"/>
      <c r="D577" s="10"/>
    </row>
    <row r="578">
      <c r="A578" s="8"/>
      <c r="D578" s="10"/>
    </row>
    <row r="579">
      <c r="A579" s="8"/>
      <c r="D579" s="10"/>
    </row>
    <row r="580">
      <c r="A580" s="8"/>
      <c r="D580" s="10"/>
    </row>
    <row r="581">
      <c r="A581" s="8"/>
      <c r="D581" s="10"/>
    </row>
    <row r="582">
      <c r="A582" s="8"/>
      <c r="D582" s="10"/>
    </row>
    <row r="583">
      <c r="A583" s="8"/>
      <c r="D583" s="10"/>
    </row>
    <row r="584">
      <c r="A584" s="8"/>
      <c r="D584" s="10"/>
    </row>
    <row r="585">
      <c r="A585" s="8"/>
      <c r="D585" s="10"/>
    </row>
    <row r="586">
      <c r="A586" s="8"/>
      <c r="D586" s="10"/>
    </row>
    <row r="587">
      <c r="A587" s="8"/>
      <c r="D587" s="10"/>
    </row>
    <row r="588">
      <c r="A588" s="8"/>
      <c r="D588" s="10"/>
    </row>
    <row r="589">
      <c r="A589" s="8"/>
      <c r="D589" s="10"/>
    </row>
    <row r="590">
      <c r="A590" s="8"/>
      <c r="D590" s="10"/>
    </row>
    <row r="591">
      <c r="A591" s="8"/>
      <c r="D591" s="10"/>
    </row>
    <row r="592">
      <c r="A592" s="8"/>
      <c r="D592" s="10"/>
    </row>
    <row r="593">
      <c r="A593" s="8"/>
      <c r="D593" s="10"/>
    </row>
    <row r="594">
      <c r="A594" s="8"/>
      <c r="D594" s="10"/>
    </row>
    <row r="595">
      <c r="A595" s="8"/>
      <c r="D595" s="10"/>
    </row>
    <row r="596">
      <c r="A596" s="8"/>
      <c r="D596" s="10"/>
    </row>
    <row r="597">
      <c r="A597" s="8"/>
      <c r="D597" s="10"/>
    </row>
    <row r="598">
      <c r="A598" s="8"/>
      <c r="D598" s="10"/>
    </row>
    <row r="599">
      <c r="A599" s="8"/>
      <c r="D599" s="10"/>
    </row>
    <row r="600">
      <c r="A600" s="8"/>
      <c r="D600" s="10"/>
    </row>
    <row r="601">
      <c r="A601" s="8"/>
      <c r="D601" s="10"/>
    </row>
    <row r="602">
      <c r="A602" s="8"/>
      <c r="D602" s="10"/>
    </row>
    <row r="603">
      <c r="A603" s="8"/>
      <c r="D603" s="10"/>
    </row>
    <row r="604">
      <c r="A604" s="8"/>
      <c r="D604" s="10"/>
    </row>
    <row r="605">
      <c r="A605" s="8"/>
      <c r="D605" s="10"/>
    </row>
    <row r="606">
      <c r="A606" s="8"/>
      <c r="D606" s="10"/>
    </row>
    <row r="607">
      <c r="A607" s="8"/>
      <c r="D607" s="10"/>
    </row>
    <row r="608">
      <c r="A608" s="8"/>
      <c r="D608" s="10"/>
    </row>
    <row r="609">
      <c r="A609" s="8"/>
      <c r="D609" s="10"/>
    </row>
    <row r="610">
      <c r="A610" s="8"/>
      <c r="D610" s="10"/>
    </row>
    <row r="611">
      <c r="A611" s="8"/>
      <c r="D611" s="10"/>
    </row>
    <row r="612">
      <c r="A612" s="8"/>
      <c r="D612" s="10"/>
    </row>
    <row r="613">
      <c r="A613" s="8"/>
      <c r="D613" s="10"/>
    </row>
    <row r="614">
      <c r="A614" s="8"/>
      <c r="D614" s="10"/>
    </row>
    <row r="615">
      <c r="A615" s="8"/>
      <c r="D615" s="10"/>
    </row>
    <row r="616">
      <c r="A616" s="8"/>
      <c r="D616" s="10"/>
    </row>
    <row r="617">
      <c r="A617" s="8"/>
      <c r="D617" s="10"/>
    </row>
    <row r="618">
      <c r="A618" s="8"/>
      <c r="D618" s="10"/>
    </row>
    <row r="619">
      <c r="A619" s="8"/>
      <c r="D619" s="10"/>
    </row>
    <row r="620">
      <c r="A620" s="8"/>
      <c r="D620" s="10"/>
    </row>
    <row r="621">
      <c r="A621" s="8"/>
      <c r="D621" s="10"/>
    </row>
    <row r="622">
      <c r="A622" s="8"/>
      <c r="D622" s="10"/>
    </row>
    <row r="623">
      <c r="A623" s="8"/>
      <c r="D623" s="10"/>
    </row>
    <row r="624">
      <c r="A624" s="8"/>
      <c r="D624" s="10"/>
    </row>
    <row r="625">
      <c r="A625" s="8"/>
      <c r="D625" s="10"/>
    </row>
    <row r="626">
      <c r="A626" s="8"/>
      <c r="D626" s="10"/>
    </row>
    <row r="627">
      <c r="A627" s="8"/>
      <c r="D627" s="10"/>
    </row>
    <row r="628">
      <c r="A628" s="8"/>
      <c r="D628" s="10"/>
    </row>
    <row r="629">
      <c r="A629" s="8"/>
      <c r="D629" s="10"/>
    </row>
    <row r="630">
      <c r="A630" s="8"/>
      <c r="D630" s="10"/>
    </row>
    <row r="631">
      <c r="A631" s="8"/>
      <c r="D631" s="10"/>
    </row>
    <row r="632">
      <c r="A632" s="8"/>
      <c r="D632" s="10"/>
    </row>
    <row r="633">
      <c r="A633" s="8"/>
      <c r="D633" s="10"/>
    </row>
    <row r="634">
      <c r="A634" s="8"/>
      <c r="D634" s="10"/>
    </row>
    <row r="635">
      <c r="A635" s="8"/>
      <c r="D635" s="10"/>
    </row>
    <row r="636">
      <c r="A636" s="8"/>
      <c r="D636" s="10"/>
    </row>
    <row r="637">
      <c r="A637" s="8"/>
      <c r="D637" s="10"/>
    </row>
    <row r="638">
      <c r="A638" s="8"/>
      <c r="D638" s="10"/>
    </row>
    <row r="639">
      <c r="A639" s="8"/>
      <c r="D639" s="10"/>
    </row>
    <row r="640">
      <c r="A640" s="8"/>
      <c r="D640" s="10"/>
    </row>
    <row r="641">
      <c r="A641" s="8"/>
      <c r="D641" s="10"/>
    </row>
    <row r="642">
      <c r="A642" s="8"/>
      <c r="D642" s="10"/>
    </row>
    <row r="643">
      <c r="A643" s="8"/>
      <c r="D643" s="10"/>
    </row>
    <row r="644">
      <c r="A644" s="8"/>
      <c r="D644" s="10"/>
    </row>
    <row r="645">
      <c r="A645" s="8"/>
      <c r="D645" s="10"/>
    </row>
    <row r="646">
      <c r="A646" s="8"/>
      <c r="D646" s="10"/>
    </row>
    <row r="647">
      <c r="A647" s="8"/>
      <c r="D647" s="10"/>
    </row>
    <row r="648">
      <c r="A648" s="8"/>
      <c r="D648" s="10"/>
    </row>
    <row r="649">
      <c r="A649" s="8"/>
      <c r="D649" s="10"/>
    </row>
    <row r="650">
      <c r="A650" s="8"/>
      <c r="D650" s="10"/>
    </row>
    <row r="651">
      <c r="A651" s="8"/>
      <c r="D651" s="10"/>
    </row>
    <row r="652">
      <c r="A652" s="8"/>
      <c r="D652" s="10"/>
    </row>
    <row r="653">
      <c r="A653" s="8"/>
      <c r="D653" s="10"/>
    </row>
    <row r="654">
      <c r="A654" s="8"/>
      <c r="D654" s="10"/>
    </row>
    <row r="655">
      <c r="A655" s="8"/>
      <c r="D655" s="10"/>
    </row>
    <row r="656">
      <c r="A656" s="8"/>
      <c r="D656" s="10"/>
    </row>
    <row r="657">
      <c r="A657" s="8"/>
      <c r="D657" s="10"/>
    </row>
    <row r="658">
      <c r="A658" s="8"/>
      <c r="D658" s="10"/>
    </row>
    <row r="659">
      <c r="A659" s="8"/>
      <c r="D659" s="10"/>
    </row>
    <row r="660">
      <c r="A660" s="8"/>
      <c r="D660" s="10"/>
    </row>
    <row r="661">
      <c r="A661" s="8"/>
      <c r="D661" s="10"/>
    </row>
    <row r="662">
      <c r="A662" s="8"/>
      <c r="D662" s="10"/>
    </row>
    <row r="663">
      <c r="A663" s="8"/>
      <c r="D663" s="10"/>
    </row>
    <row r="664">
      <c r="A664" s="8"/>
      <c r="D664" s="10"/>
    </row>
    <row r="665">
      <c r="A665" s="8"/>
      <c r="D665" s="10"/>
    </row>
    <row r="666">
      <c r="A666" s="8"/>
      <c r="D666" s="10"/>
    </row>
    <row r="667">
      <c r="A667" s="8"/>
      <c r="D667" s="10"/>
    </row>
    <row r="668">
      <c r="A668" s="8"/>
      <c r="D668" s="10"/>
    </row>
    <row r="669">
      <c r="A669" s="8"/>
      <c r="D669" s="10"/>
    </row>
    <row r="670">
      <c r="A670" s="8"/>
      <c r="D670" s="10"/>
    </row>
    <row r="671">
      <c r="A671" s="8"/>
      <c r="D671" s="10"/>
    </row>
    <row r="672">
      <c r="A672" s="8"/>
      <c r="D672" s="10"/>
    </row>
    <row r="673">
      <c r="A673" s="8"/>
      <c r="D673" s="10"/>
    </row>
    <row r="674">
      <c r="A674" s="8"/>
      <c r="D674" s="10"/>
    </row>
    <row r="675">
      <c r="A675" s="8"/>
      <c r="D675" s="10"/>
    </row>
    <row r="676">
      <c r="A676" s="8"/>
      <c r="D676" s="10"/>
    </row>
    <row r="677">
      <c r="A677" s="8"/>
      <c r="D677" s="10"/>
    </row>
    <row r="678">
      <c r="A678" s="8"/>
      <c r="D678" s="10"/>
    </row>
    <row r="679">
      <c r="A679" s="8"/>
      <c r="D679" s="10"/>
    </row>
    <row r="680">
      <c r="A680" s="8"/>
      <c r="D680" s="10"/>
    </row>
    <row r="681">
      <c r="A681" s="8"/>
      <c r="D681" s="10"/>
    </row>
    <row r="682">
      <c r="A682" s="8"/>
      <c r="D682" s="10"/>
    </row>
    <row r="683">
      <c r="A683" s="8"/>
      <c r="D683" s="10"/>
    </row>
    <row r="684">
      <c r="A684" s="8"/>
      <c r="D684" s="10"/>
    </row>
    <row r="685">
      <c r="A685" s="8"/>
      <c r="D685" s="10"/>
    </row>
    <row r="686">
      <c r="A686" s="8"/>
      <c r="D686" s="10"/>
    </row>
    <row r="687">
      <c r="A687" s="8"/>
      <c r="D687" s="10"/>
    </row>
    <row r="688">
      <c r="A688" s="8"/>
      <c r="D688" s="10"/>
    </row>
    <row r="689">
      <c r="A689" s="8"/>
      <c r="D689" s="10"/>
    </row>
    <row r="690">
      <c r="A690" s="8"/>
      <c r="D690" s="10"/>
    </row>
    <row r="691">
      <c r="A691" s="8"/>
      <c r="D691" s="10"/>
    </row>
    <row r="692">
      <c r="A692" s="8"/>
      <c r="D692" s="10"/>
    </row>
    <row r="693">
      <c r="A693" s="8"/>
      <c r="D693" s="10"/>
    </row>
    <row r="694">
      <c r="A694" s="8"/>
      <c r="D694" s="10"/>
    </row>
    <row r="695">
      <c r="A695" s="8"/>
      <c r="D695" s="10"/>
    </row>
    <row r="696">
      <c r="A696" s="8"/>
      <c r="D696" s="10"/>
    </row>
    <row r="697">
      <c r="A697" s="8"/>
      <c r="D697" s="10"/>
    </row>
    <row r="698">
      <c r="A698" s="8"/>
      <c r="D698" s="10"/>
    </row>
    <row r="699">
      <c r="A699" s="8"/>
      <c r="D699" s="10"/>
    </row>
    <row r="700">
      <c r="A700" s="8"/>
      <c r="D700" s="10"/>
    </row>
    <row r="701">
      <c r="A701" s="8"/>
      <c r="D701" s="10"/>
    </row>
    <row r="702">
      <c r="A702" s="8"/>
      <c r="D702" s="10"/>
    </row>
    <row r="703">
      <c r="A703" s="8"/>
      <c r="D703" s="10"/>
    </row>
    <row r="704">
      <c r="A704" s="8"/>
      <c r="D704" s="10"/>
    </row>
    <row r="705">
      <c r="A705" s="8"/>
      <c r="D705" s="10"/>
    </row>
    <row r="706">
      <c r="A706" s="8"/>
      <c r="D706" s="10"/>
    </row>
    <row r="707">
      <c r="A707" s="8"/>
      <c r="D707" s="10"/>
    </row>
    <row r="708">
      <c r="A708" s="8"/>
      <c r="D708" s="10"/>
    </row>
    <row r="709">
      <c r="A709" s="8"/>
      <c r="D709" s="10"/>
    </row>
    <row r="710">
      <c r="A710" s="8"/>
      <c r="D710" s="10"/>
    </row>
    <row r="711">
      <c r="A711" s="8"/>
      <c r="D711" s="10"/>
    </row>
    <row r="712">
      <c r="A712" s="8"/>
      <c r="D712" s="10"/>
    </row>
    <row r="713">
      <c r="A713" s="8"/>
      <c r="D713" s="10"/>
    </row>
    <row r="714">
      <c r="A714" s="8"/>
      <c r="D714" s="10"/>
    </row>
    <row r="715">
      <c r="A715" s="8"/>
      <c r="D715" s="10"/>
    </row>
    <row r="716">
      <c r="A716" s="8"/>
      <c r="D716" s="10"/>
    </row>
    <row r="717">
      <c r="A717" s="8"/>
      <c r="D717" s="10"/>
    </row>
    <row r="718">
      <c r="A718" s="8"/>
      <c r="D718" s="10"/>
    </row>
    <row r="719">
      <c r="A719" s="8"/>
      <c r="D719" s="10"/>
    </row>
    <row r="720">
      <c r="A720" s="8"/>
      <c r="D720" s="10"/>
    </row>
    <row r="721">
      <c r="A721" s="8"/>
      <c r="D721" s="10"/>
    </row>
    <row r="722">
      <c r="A722" s="8"/>
      <c r="D722" s="10"/>
    </row>
    <row r="723">
      <c r="A723" s="8"/>
      <c r="D723" s="10"/>
    </row>
    <row r="724">
      <c r="A724" s="8"/>
      <c r="D724" s="10"/>
    </row>
    <row r="725">
      <c r="A725" s="8"/>
      <c r="D725" s="10"/>
    </row>
    <row r="726">
      <c r="A726" s="8"/>
      <c r="D726" s="10"/>
    </row>
    <row r="727">
      <c r="A727" s="8"/>
      <c r="D727" s="10"/>
    </row>
    <row r="728">
      <c r="A728" s="8"/>
      <c r="D728" s="10"/>
    </row>
    <row r="729">
      <c r="A729" s="8"/>
      <c r="D729" s="10"/>
    </row>
    <row r="730">
      <c r="A730" s="8"/>
      <c r="D730" s="10"/>
    </row>
    <row r="731">
      <c r="A731" s="8"/>
      <c r="D731" s="10"/>
    </row>
    <row r="732">
      <c r="A732" s="8"/>
      <c r="D732" s="10"/>
    </row>
    <row r="733">
      <c r="A733" s="8"/>
      <c r="D733" s="10"/>
    </row>
    <row r="734">
      <c r="A734" s="8"/>
      <c r="D734" s="10"/>
    </row>
    <row r="735">
      <c r="A735" s="8"/>
      <c r="D735" s="10"/>
    </row>
    <row r="736">
      <c r="A736" s="8"/>
      <c r="D736" s="10"/>
    </row>
    <row r="737">
      <c r="A737" s="8"/>
      <c r="D737" s="10"/>
    </row>
    <row r="738">
      <c r="A738" s="8"/>
      <c r="D738" s="10"/>
    </row>
    <row r="739">
      <c r="A739" s="8"/>
      <c r="D739" s="10"/>
    </row>
    <row r="740">
      <c r="A740" s="8"/>
      <c r="D740" s="10"/>
    </row>
    <row r="741">
      <c r="A741" s="8"/>
      <c r="D741" s="10"/>
    </row>
    <row r="742">
      <c r="A742" s="8"/>
      <c r="D742" s="10"/>
    </row>
    <row r="743">
      <c r="A743" s="8"/>
      <c r="D743" s="10"/>
    </row>
    <row r="744">
      <c r="A744" s="8"/>
      <c r="D744" s="10"/>
    </row>
    <row r="745">
      <c r="A745" s="8"/>
      <c r="D745" s="10"/>
    </row>
    <row r="746">
      <c r="A746" s="8"/>
      <c r="D746" s="10"/>
    </row>
    <row r="747">
      <c r="A747" s="8"/>
      <c r="D747" s="10"/>
    </row>
    <row r="748">
      <c r="A748" s="8"/>
      <c r="D748" s="10"/>
    </row>
    <row r="749">
      <c r="A749" s="8"/>
      <c r="D749" s="10"/>
    </row>
    <row r="750">
      <c r="A750" s="8"/>
      <c r="D750" s="10"/>
    </row>
    <row r="751">
      <c r="A751" s="8"/>
      <c r="D751" s="10"/>
    </row>
    <row r="752">
      <c r="A752" s="8"/>
      <c r="D752" s="10"/>
    </row>
    <row r="753">
      <c r="A753" s="8"/>
      <c r="D753" s="10"/>
    </row>
    <row r="754">
      <c r="A754" s="8"/>
      <c r="D754" s="10"/>
    </row>
    <row r="755">
      <c r="A755" s="8"/>
      <c r="D755" s="10"/>
    </row>
    <row r="756">
      <c r="A756" s="8"/>
      <c r="D756" s="10"/>
    </row>
    <row r="757">
      <c r="A757" s="8"/>
      <c r="D757" s="10"/>
    </row>
    <row r="758">
      <c r="A758" s="8"/>
      <c r="D758" s="10"/>
    </row>
    <row r="759">
      <c r="A759" s="8"/>
      <c r="D759" s="10"/>
    </row>
    <row r="760">
      <c r="A760" s="8"/>
      <c r="D760" s="10"/>
    </row>
    <row r="761">
      <c r="A761" s="8"/>
      <c r="D761" s="10"/>
    </row>
    <row r="762">
      <c r="A762" s="8"/>
      <c r="D762" s="10"/>
    </row>
    <row r="763">
      <c r="A763" s="8"/>
      <c r="D763" s="10"/>
    </row>
    <row r="764">
      <c r="A764" s="8"/>
      <c r="D764" s="10"/>
    </row>
    <row r="765">
      <c r="A765" s="8"/>
      <c r="D765" s="10"/>
    </row>
    <row r="766">
      <c r="A766" s="8"/>
      <c r="D766" s="10"/>
    </row>
    <row r="767">
      <c r="A767" s="8"/>
      <c r="D767" s="10"/>
    </row>
    <row r="768">
      <c r="A768" s="8"/>
      <c r="D768" s="10"/>
    </row>
    <row r="769">
      <c r="A769" s="8"/>
      <c r="D769" s="10"/>
    </row>
    <row r="770">
      <c r="A770" s="8"/>
      <c r="D770" s="10"/>
    </row>
    <row r="771">
      <c r="A771" s="8"/>
      <c r="D771" s="10"/>
    </row>
    <row r="772">
      <c r="A772" s="8"/>
      <c r="D772" s="10"/>
    </row>
    <row r="773">
      <c r="A773" s="8"/>
      <c r="D773" s="10"/>
    </row>
    <row r="774">
      <c r="A774" s="8"/>
      <c r="D774" s="10"/>
    </row>
    <row r="775">
      <c r="A775" s="8"/>
      <c r="D775" s="10"/>
    </row>
    <row r="776">
      <c r="A776" s="8"/>
      <c r="D776" s="10"/>
    </row>
    <row r="777">
      <c r="A777" s="8"/>
      <c r="D777" s="10"/>
    </row>
    <row r="778">
      <c r="A778" s="8"/>
      <c r="D778" s="10"/>
    </row>
    <row r="779">
      <c r="A779" s="8"/>
      <c r="D779" s="10"/>
    </row>
    <row r="780">
      <c r="A780" s="8"/>
      <c r="D780" s="10"/>
    </row>
    <row r="781">
      <c r="A781" s="8"/>
      <c r="D781" s="10"/>
    </row>
    <row r="782">
      <c r="A782" s="8"/>
      <c r="D782" s="10"/>
    </row>
    <row r="783">
      <c r="A783" s="8"/>
      <c r="D783" s="10"/>
    </row>
    <row r="784">
      <c r="A784" s="8"/>
      <c r="D784" s="10"/>
    </row>
    <row r="785">
      <c r="A785" s="8"/>
      <c r="D785" s="10"/>
    </row>
    <row r="786">
      <c r="A786" s="8"/>
      <c r="D786" s="10"/>
    </row>
    <row r="787">
      <c r="A787" s="8"/>
      <c r="D787" s="10"/>
    </row>
    <row r="788">
      <c r="A788" s="8"/>
      <c r="D788" s="10"/>
    </row>
    <row r="789">
      <c r="A789" s="8"/>
      <c r="D789" s="10"/>
    </row>
    <row r="790">
      <c r="A790" s="8"/>
      <c r="D790" s="10"/>
    </row>
    <row r="791">
      <c r="A791" s="8"/>
      <c r="D791" s="10"/>
    </row>
    <row r="792">
      <c r="A792" s="8"/>
      <c r="D792" s="10"/>
    </row>
    <row r="793">
      <c r="A793" s="8"/>
      <c r="D793" s="10"/>
    </row>
    <row r="794">
      <c r="A794" s="8"/>
      <c r="D794" s="10"/>
    </row>
    <row r="795">
      <c r="A795" s="8"/>
      <c r="D795" s="10"/>
    </row>
    <row r="796">
      <c r="A796" s="8"/>
      <c r="D796" s="10"/>
    </row>
    <row r="797">
      <c r="A797" s="8"/>
      <c r="D797" s="10"/>
    </row>
    <row r="798">
      <c r="A798" s="8"/>
      <c r="D798" s="10"/>
    </row>
    <row r="799">
      <c r="A799" s="8"/>
      <c r="D799" s="10"/>
    </row>
    <row r="800">
      <c r="A800" s="8"/>
      <c r="D800" s="10"/>
    </row>
    <row r="801">
      <c r="A801" s="8"/>
      <c r="D801" s="10"/>
    </row>
    <row r="802">
      <c r="A802" s="8"/>
      <c r="D802" s="10"/>
    </row>
    <row r="803">
      <c r="A803" s="8"/>
      <c r="D803" s="10"/>
    </row>
    <row r="804">
      <c r="A804" s="8"/>
      <c r="D804" s="10"/>
    </row>
    <row r="805">
      <c r="A805" s="8"/>
      <c r="D805" s="10"/>
    </row>
    <row r="806">
      <c r="A806" s="8"/>
      <c r="D806" s="10"/>
    </row>
    <row r="807">
      <c r="A807" s="8"/>
      <c r="D807" s="10"/>
    </row>
    <row r="808">
      <c r="A808" s="8"/>
      <c r="D808" s="10"/>
    </row>
    <row r="809">
      <c r="A809" s="8"/>
      <c r="D809" s="10"/>
    </row>
    <row r="810">
      <c r="A810" s="8"/>
      <c r="D810" s="10"/>
    </row>
    <row r="811">
      <c r="A811" s="8"/>
      <c r="D811" s="10"/>
    </row>
    <row r="812">
      <c r="A812" s="8"/>
      <c r="D812" s="10"/>
    </row>
    <row r="813">
      <c r="A813" s="8"/>
      <c r="D813" s="10"/>
    </row>
    <row r="814">
      <c r="A814" s="8"/>
      <c r="D814" s="10"/>
    </row>
    <row r="815">
      <c r="A815" s="8"/>
      <c r="D815" s="10"/>
    </row>
    <row r="816">
      <c r="A816" s="8"/>
      <c r="D816" s="10"/>
    </row>
    <row r="817">
      <c r="A817" s="8"/>
      <c r="D817" s="10"/>
    </row>
    <row r="818">
      <c r="A818" s="8"/>
      <c r="D818" s="10"/>
    </row>
    <row r="819">
      <c r="A819" s="8"/>
      <c r="D819" s="10"/>
    </row>
    <row r="820">
      <c r="A820" s="8"/>
      <c r="D820" s="10"/>
    </row>
    <row r="821">
      <c r="A821" s="8"/>
      <c r="D821" s="10"/>
    </row>
    <row r="822">
      <c r="A822" s="8"/>
      <c r="D822" s="10"/>
    </row>
    <row r="823">
      <c r="A823" s="8"/>
      <c r="D823" s="10"/>
    </row>
    <row r="824">
      <c r="A824" s="8"/>
      <c r="D824" s="10"/>
    </row>
    <row r="825">
      <c r="A825" s="8"/>
      <c r="D825" s="10"/>
    </row>
    <row r="826">
      <c r="A826" s="8"/>
      <c r="D826" s="10"/>
    </row>
    <row r="827">
      <c r="A827" s="8"/>
      <c r="D827" s="10"/>
    </row>
    <row r="828">
      <c r="A828" s="8"/>
      <c r="D828" s="10"/>
    </row>
    <row r="829">
      <c r="A829" s="8"/>
      <c r="D829" s="10"/>
    </row>
    <row r="830">
      <c r="A830" s="8"/>
      <c r="D830" s="10"/>
    </row>
    <row r="831">
      <c r="A831" s="8"/>
      <c r="D831" s="10"/>
    </row>
    <row r="832">
      <c r="A832" s="8"/>
      <c r="D832" s="10"/>
    </row>
    <row r="833">
      <c r="A833" s="8"/>
      <c r="D833" s="10"/>
    </row>
    <row r="834">
      <c r="A834" s="8"/>
      <c r="D834" s="10"/>
    </row>
    <row r="835">
      <c r="A835" s="8"/>
      <c r="D835" s="10"/>
    </row>
    <row r="836">
      <c r="A836" s="8"/>
      <c r="D836" s="10"/>
    </row>
    <row r="837">
      <c r="A837" s="8"/>
      <c r="D837" s="10"/>
    </row>
    <row r="838">
      <c r="A838" s="8"/>
      <c r="D838" s="10"/>
    </row>
    <row r="839">
      <c r="A839" s="8"/>
      <c r="D839" s="10"/>
    </row>
    <row r="840">
      <c r="A840" s="8"/>
      <c r="D840" s="10"/>
    </row>
    <row r="841">
      <c r="A841" s="8"/>
      <c r="D841" s="10"/>
    </row>
    <row r="842">
      <c r="A842" s="8"/>
      <c r="D842" s="10"/>
    </row>
    <row r="843">
      <c r="A843" s="8"/>
      <c r="D843" s="10"/>
    </row>
    <row r="844">
      <c r="A844" s="8"/>
      <c r="D844" s="10"/>
    </row>
    <row r="845">
      <c r="A845" s="8"/>
      <c r="D845" s="10"/>
    </row>
    <row r="846">
      <c r="A846" s="8"/>
      <c r="D846" s="10"/>
    </row>
    <row r="847">
      <c r="A847" s="8"/>
      <c r="D847" s="10"/>
    </row>
    <row r="848">
      <c r="A848" s="8"/>
      <c r="D848" s="10"/>
    </row>
    <row r="849">
      <c r="A849" s="8"/>
      <c r="D849" s="10"/>
    </row>
    <row r="850">
      <c r="A850" s="8"/>
      <c r="D850" s="10"/>
    </row>
    <row r="851">
      <c r="A851" s="8"/>
      <c r="D851" s="10"/>
    </row>
    <row r="852">
      <c r="A852" s="8"/>
      <c r="D852" s="10"/>
    </row>
    <row r="853">
      <c r="A853" s="8"/>
      <c r="D853" s="10"/>
    </row>
    <row r="854">
      <c r="A854" s="8"/>
      <c r="D854" s="10"/>
    </row>
    <row r="855">
      <c r="A855" s="8"/>
      <c r="D855" s="10"/>
    </row>
    <row r="856">
      <c r="A856" s="8"/>
      <c r="D856" s="10"/>
    </row>
    <row r="857">
      <c r="A857" s="8"/>
      <c r="D857" s="10"/>
    </row>
    <row r="858">
      <c r="A858" s="8"/>
      <c r="D858" s="10"/>
    </row>
    <row r="859">
      <c r="A859" s="8"/>
      <c r="D859" s="10"/>
    </row>
    <row r="860">
      <c r="A860" s="8"/>
      <c r="D860" s="10"/>
    </row>
    <row r="861">
      <c r="A861" s="8"/>
      <c r="D861" s="10"/>
    </row>
    <row r="862">
      <c r="A862" s="8"/>
      <c r="D862" s="10"/>
    </row>
    <row r="863">
      <c r="A863" s="8"/>
      <c r="D863" s="10"/>
    </row>
    <row r="864">
      <c r="A864" s="8"/>
      <c r="D864" s="10"/>
    </row>
    <row r="865">
      <c r="A865" s="8"/>
      <c r="D865" s="10"/>
    </row>
    <row r="866">
      <c r="A866" s="8"/>
      <c r="D866" s="10"/>
    </row>
    <row r="867">
      <c r="A867" s="8"/>
      <c r="D867" s="10"/>
    </row>
    <row r="868">
      <c r="A868" s="8"/>
      <c r="D868" s="10"/>
    </row>
    <row r="869">
      <c r="A869" s="8"/>
      <c r="D869" s="10"/>
    </row>
    <row r="870">
      <c r="A870" s="8"/>
      <c r="D870" s="10"/>
    </row>
    <row r="871">
      <c r="A871" s="8"/>
      <c r="D871" s="10"/>
    </row>
    <row r="872">
      <c r="A872" s="8"/>
      <c r="D872" s="10"/>
    </row>
    <row r="873">
      <c r="A873" s="8"/>
      <c r="D873" s="10"/>
    </row>
    <row r="874">
      <c r="A874" s="8"/>
      <c r="D874" s="10"/>
    </row>
    <row r="875">
      <c r="A875" s="8"/>
      <c r="D875" s="10"/>
    </row>
    <row r="876">
      <c r="A876" s="8"/>
      <c r="D876" s="10"/>
    </row>
    <row r="877">
      <c r="A877" s="8"/>
      <c r="D877" s="10"/>
    </row>
    <row r="878">
      <c r="A878" s="8"/>
      <c r="D878" s="10"/>
    </row>
    <row r="879">
      <c r="A879" s="8"/>
      <c r="D879" s="10"/>
    </row>
    <row r="880">
      <c r="A880" s="8"/>
      <c r="D880" s="10"/>
    </row>
    <row r="881">
      <c r="A881" s="8"/>
      <c r="D881" s="10"/>
    </row>
    <row r="882">
      <c r="A882" s="8"/>
      <c r="D882" s="10"/>
    </row>
    <row r="883">
      <c r="A883" s="8"/>
      <c r="D883" s="10"/>
    </row>
    <row r="884">
      <c r="A884" s="8"/>
      <c r="D884" s="10"/>
    </row>
    <row r="885">
      <c r="A885" s="8"/>
      <c r="D885" s="10"/>
    </row>
    <row r="886">
      <c r="A886" s="8"/>
      <c r="D886" s="10"/>
    </row>
    <row r="887">
      <c r="A887" s="8"/>
      <c r="D887" s="10"/>
    </row>
    <row r="888">
      <c r="A888" s="8"/>
      <c r="D888" s="10"/>
    </row>
    <row r="889">
      <c r="A889" s="8"/>
      <c r="D889" s="10"/>
    </row>
    <row r="890">
      <c r="A890" s="8"/>
      <c r="D890" s="10"/>
    </row>
    <row r="891">
      <c r="A891" s="8"/>
      <c r="D891" s="10"/>
    </row>
    <row r="892">
      <c r="A892" s="8"/>
      <c r="D892" s="10"/>
    </row>
    <row r="893">
      <c r="A893" s="8"/>
      <c r="D893" s="10"/>
    </row>
    <row r="894">
      <c r="A894" s="8"/>
      <c r="D894" s="10"/>
    </row>
    <row r="895">
      <c r="A895" s="8"/>
      <c r="D895" s="10"/>
    </row>
    <row r="896">
      <c r="A896" s="8"/>
      <c r="D896" s="10"/>
    </row>
    <row r="897">
      <c r="A897" s="8"/>
      <c r="D897" s="10"/>
    </row>
    <row r="898">
      <c r="A898" s="8"/>
      <c r="D898" s="10"/>
    </row>
    <row r="899">
      <c r="A899" s="8"/>
      <c r="D899" s="10"/>
    </row>
    <row r="900">
      <c r="A900" s="8"/>
      <c r="D900" s="10"/>
    </row>
    <row r="901">
      <c r="A901" s="8"/>
      <c r="D901" s="10"/>
    </row>
    <row r="902">
      <c r="A902" s="8"/>
      <c r="D902" s="10"/>
    </row>
    <row r="903">
      <c r="A903" s="8"/>
      <c r="D903" s="10"/>
    </row>
    <row r="904">
      <c r="A904" s="8"/>
      <c r="D904" s="10"/>
    </row>
    <row r="905">
      <c r="A905" s="8"/>
      <c r="D905" s="10"/>
    </row>
    <row r="906">
      <c r="A906" s="8"/>
      <c r="D906" s="10"/>
    </row>
    <row r="907">
      <c r="A907" s="8"/>
      <c r="D907" s="10"/>
    </row>
    <row r="908">
      <c r="A908" s="8"/>
      <c r="D908" s="10"/>
    </row>
    <row r="909">
      <c r="A909" s="8"/>
      <c r="D909" s="10"/>
    </row>
    <row r="910">
      <c r="A910" s="8"/>
      <c r="D910" s="10"/>
    </row>
    <row r="911">
      <c r="A911" s="8"/>
      <c r="D911" s="10"/>
    </row>
    <row r="912">
      <c r="A912" s="8"/>
      <c r="D912" s="10"/>
    </row>
    <row r="913">
      <c r="A913" s="8"/>
      <c r="D913" s="10"/>
    </row>
    <row r="914">
      <c r="A914" s="8"/>
      <c r="D914" s="10"/>
    </row>
    <row r="915">
      <c r="A915" s="8"/>
      <c r="D915" s="10"/>
    </row>
    <row r="916">
      <c r="A916" s="8"/>
      <c r="D916" s="10"/>
    </row>
    <row r="917">
      <c r="A917" s="8"/>
      <c r="D917" s="10"/>
    </row>
    <row r="918">
      <c r="A918" s="8"/>
      <c r="D918" s="10"/>
    </row>
    <row r="919">
      <c r="A919" s="8"/>
      <c r="D919" s="10"/>
    </row>
    <row r="920">
      <c r="A920" s="8"/>
      <c r="D920" s="10"/>
    </row>
    <row r="921">
      <c r="A921" s="8"/>
      <c r="D921" s="10"/>
    </row>
    <row r="922">
      <c r="A922" s="8"/>
      <c r="D922" s="10"/>
    </row>
    <row r="923">
      <c r="A923" s="8"/>
      <c r="D923" s="10"/>
    </row>
    <row r="924">
      <c r="A924" s="8"/>
      <c r="D924" s="10"/>
    </row>
    <row r="925">
      <c r="A925" s="8"/>
      <c r="D925" s="10"/>
    </row>
    <row r="926">
      <c r="A926" s="8"/>
      <c r="D926" s="10"/>
    </row>
    <row r="927">
      <c r="A927" s="8"/>
      <c r="D927" s="10"/>
    </row>
    <row r="928">
      <c r="A928" s="8"/>
      <c r="D928" s="10"/>
    </row>
    <row r="929">
      <c r="A929" s="8"/>
      <c r="D929" s="10"/>
    </row>
    <row r="930">
      <c r="A930" s="8"/>
      <c r="D930" s="10"/>
    </row>
    <row r="931">
      <c r="A931" s="8"/>
      <c r="D931" s="10"/>
    </row>
    <row r="932">
      <c r="A932" s="8"/>
      <c r="D932" s="10"/>
    </row>
    <row r="933">
      <c r="A933" s="8"/>
      <c r="D933" s="10"/>
    </row>
    <row r="934">
      <c r="A934" s="8"/>
      <c r="D934" s="10"/>
    </row>
    <row r="935">
      <c r="A935" s="8"/>
      <c r="D935" s="10"/>
    </row>
    <row r="936">
      <c r="A936" s="8"/>
      <c r="D936" s="10"/>
    </row>
    <row r="937">
      <c r="A937" s="8"/>
      <c r="D937" s="10"/>
    </row>
    <row r="938">
      <c r="A938" s="8"/>
      <c r="D938" s="10"/>
    </row>
    <row r="939">
      <c r="A939" s="8"/>
      <c r="D939" s="10"/>
    </row>
    <row r="940">
      <c r="A940" s="8"/>
      <c r="D940" s="10"/>
    </row>
    <row r="941">
      <c r="A941" s="8"/>
      <c r="D941" s="10"/>
    </row>
    <row r="942">
      <c r="A942" s="8"/>
      <c r="D942" s="10"/>
    </row>
  </sheetData>
  <hyperlinks>
    <hyperlink display="sector" location="sector!A1" ref="C2"/>
    <hyperlink display="industry" location="industry!A1" ref="C3"/>
    <hyperlink display="company" location="company!A1" ref="C4"/>
    <hyperlink display="stock" location="stock!A1" ref="C5"/>
    <hyperlink display="user" location="user!A1" ref="C6"/>
    <hyperlink display="contract" location="contract!A1" ref="C7"/>
    <hyperlink display="ekyc" location="ekyc!A1" ref="C8"/>
    <hyperlink display="nfc" location="nfc!A1" ref="C9"/>
    <hyperlink display="package" location="package!A1" ref="C10"/>
    <hyperlink display="leader_package" location="leader_package!A1" ref="C11"/>
    <hyperlink display="subscription" location="subscription!A1" ref="C12"/>
    <hyperlink display="advisory" location="advisory!A1" ref="C13"/>
    <hyperlink display="financial_metric" location="financial_metric!A1" ref="C14"/>
    <hyperlink display="watch_list" location="watch_list!A1" ref="C15"/>
    <hyperlink display="news_source" location="news_source!A1" ref="C16"/>
    <hyperlink display="news_article" location="news_article!A1" ref="C17"/>
    <hyperlink display="follower_query" location="follower_query!A1" ref="C18"/>
    <hyperlink display="afl" location="afl!A1" ref="C19"/>
    <hyperlink display="trade_setting" location="trade_setting!A1" ref="C20"/>
    <hyperlink display="trade_statistic" location="trade_statistic!A1" ref="C21"/>
    <hyperlink display="trade_entry" location="trade_entry!A1" ref="C22"/>
    <hyperlink display="trade_signal" location="trade_signal!A1" ref="C23"/>
    <hyperlink display="order" location="order!A1" ref="C24"/>
    <hyperlink display="follower_fee" location="follower_fee!A1" ref="C25"/>
    <hyperlink display="leader_fee" location="leader_fee!A1" ref="C26"/>
    <hyperlink display="payment_method" location="payment_method!A1" ref="C27"/>
    <hyperlink display="user_payment_method" location="user_payment_method!A1" ref="C28"/>
    <hyperlink display="payment" location="payment!A1" ref="C29"/>
    <hyperlink display="security_company" location="security_company!A1" ref="C30"/>
    <hyperlink display="endpoint" location="endpoint!A1" ref="C31"/>
    <hyperlink display="api" location="api!A1" ref="C32"/>
    <hyperlink display="api_parameter" location="api_parameter!A1" ref="C33"/>
    <hyperlink display="api_response" location="api_response!A1" ref="C34"/>
    <hyperlink display="api_error" location="api_error!A1" ref="C35"/>
    <hyperlink display="user_auth" location="user_auth!A1" ref="C36"/>
    <hyperlink display="api_log" location="api_log!A1" ref="C37"/>
    <hyperlink display="comment" location="comment!A1" ref="C38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59.0"/>
  </cols>
  <sheetData>
    <row r="1">
      <c r="A1" s="11" t="s">
        <v>0</v>
      </c>
      <c r="B1" s="11" t="s">
        <v>45</v>
      </c>
      <c r="C1" s="12" t="s">
        <v>46</v>
      </c>
      <c r="D1" s="12" t="s">
        <v>47</v>
      </c>
      <c r="E1" s="13" t="s">
        <v>48</v>
      </c>
    </row>
    <row r="2">
      <c r="A2" s="14"/>
      <c r="B2" s="15"/>
      <c r="C2" s="15"/>
      <c r="D2" s="15"/>
      <c r="E2" s="16" t="s">
        <v>49</v>
      </c>
    </row>
    <row r="3">
      <c r="A3" s="14">
        <v>1.0</v>
      </c>
      <c r="B3" s="15" t="s">
        <v>50</v>
      </c>
      <c r="C3" s="15" t="s">
        <v>50</v>
      </c>
      <c r="D3" s="15" t="s">
        <v>51</v>
      </c>
      <c r="E3" s="16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table_name='sector' ;")</f>
        <v>INSERT INTO system_parameters.business_fields(
        table_id, field_name, field_type, description, is_primary_key)
        SELECT table_id, 'sector_id','SERIAL', 'sector_id', true FROM system_parameters.business_tables WHERE table_name='sector' ;</v>
      </c>
    </row>
    <row r="4">
      <c r="A4" s="14">
        <f>A3+1</f>
        <v>2</v>
      </c>
      <c r="B4" s="15" t="s">
        <v>52</v>
      </c>
      <c r="C4" s="15" t="s">
        <v>53</v>
      </c>
      <c r="D4" s="15" t="s">
        <v>54</v>
      </c>
      <c r="E4" s="10" t="str">
        <f>CONCATENATE("INSERT INTO system_parameters.business_fields(
        table_id, field_name, field_type, description)
        SELECT table_id, '",SUBSTITUTE(C4, " ", "_"),"','",D4,"', '",B4,"' FROM system_parameters.business_tables WHERE table_name='sector' ;")</f>
        <v>INSERT INTO system_parameters.business_fields(
        table_id, field_name, field_type, description)
        SELECT table_id, 'sector_name','VARCHAR(255)', 'Tên nghành' FROM system_parameters.business_tables WHERE table_name='sector' ;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4.88"/>
    <col customWidth="1" min="5" max="5" width="51.75"/>
  </cols>
  <sheetData>
    <row r="1">
      <c r="A1" s="11" t="s">
        <v>0</v>
      </c>
      <c r="B1" s="11" t="s">
        <v>45</v>
      </c>
      <c r="C1" s="12" t="s">
        <v>46</v>
      </c>
      <c r="D1" s="12" t="s">
        <v>47</v>
      </c>
      <c r="E1" s="13" t="s">
        <v>48</v>
      </c>
    </row>
    <row r="2">
      <c r="A2" s="14"/>
      <c r="B2" s="15"/>
      <c r="C2" s="15"/>
      <c r="D2" s="15"/>
      <c r="E2" s="16" t="s">
        <v>55</v>
      </c>
    </row>
    <row r="3">
      <c r="A3" s="14">
        <v>1.0</v>
      </c>
      <c r="B3" s="15" t="s">
        <v>56</v>
      </c>
      <c r="C3" s="15" t="s">
        <v>56</v>
      </c>
      <c r="D3" s="15" t="s">
        <v>51</v>
      </c>
      <c r="E3" s="16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table_name='industry' ;")</f>
        <v>INSERT INTO system_parameters.business_fields(
        table_id, field_name, field_type, description, is_primary_key)
        SELECT table_id, 'industry_id','SERIAL', 'industry id', true FROM system_parameters.business_tables WHERE table_name='industry' ;</v>
      </c>
    </row>
    <row r="4">
      <c r="A4" s="14">
        <f t="shared" ref="A4:A5" si="1">A3+1</f>
        <v>2</v>
      </c>
      <c r="B4" s="15" t="s">
        <v>57</v>
      </c>
      <c r="C4" s="15" t="s">
        <v>58</v>
      </c>
      <c r="D4" s="15" t="s">
        <v>54</v>
      </c>
      <c r="E4" s="10" t="str">
        <f>CONCATENATE("INSERT INTO system_parameters.business_fields(
        table_id, field_name, field_type, description)
        SELECT table_id, '",SUBSTITUTE(C4, " ", "_"),"','",D4,"', '",B4,"' FROM system_parameters.business_tables WHERE table_name='industry' ;")</f>
        <v>INSERT INTO system_parameters.business_fields(
        table_id, field_name, field_type, description)
        SELECT table_id, 'industry_name','VARCHAR(255)', 'Tên nghành cụ thể' FROM system_parameters.business_tables WHERE table_name='industry' ;</v>
      </c>
    </row>
    <row r="5">
      <c r="A5" s="14">
        <f t="shared" si="1"/>
        <v>3</v>
      </c>
      <c r="B5" s="15" t="s">
        <v>52</v>
      </c>
      <c r="C5" s="15" t="s">
        <v>50</v>
      </c>
      <c r="D5" s="15" t="s">
        <v>51</v>
      </c>
      <c r="E5" s="10" t="str">
        <f>CONCATENATE("INSERT INTO system_parameters.business_fields(
        table_id, field_name, field_type, description, is_foreign_key, referenced_table_id, referenced_field_id)
        SELECT a.table_id, '",SUBSTITUTE(C5, " ", "_"),"','",D5,"', '",B5,"', true, b.table_id, c.field_id FROM system_parameters.business_tables a, system_parameters.business_tables b, system_parameters.business_fields c WHERE a.table_name='industry' and b.table_name='sector' and b.table_id=c.table_id and c.is_primary_key=true;")</f>
        <v>INSERT INTO system_parameters.business_fields(
        table_id, field_name, field_type, description, is_foreign_key, referenced_table_id, referenced_field_id)
        SELECT a.table_id, 'sector_id','SERIAL', 'Tên nghành', true, b.table_id, c.field_id FROM system_parameters.business_tables a, system_parameters.business_tables b, system_parameters.business_fields c WHERE a.table_name='industry' and b.table_name='sector' and b.table_id=c.table_id and c.is_primary_key=true;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18.63"/>
    <col customWidth="1" min="3" max="3" width="16.13"/>
    <col customWidth="1" min="5" max="5" width="53.5"/>
  </cols>
  <sheetData>
    <row r="1">
      <c r="A1" s="11" t="s">
        <v>0</v>
      </c>
      <c r="B1" s="11" t="s">
        <v>45</v>
      </c>
      <c r="C1" s="12" t="s">
        <v>46</v>
      </c>
      <c r="D1" s="12" t="s">
        <v>47</v>
      </c>
      <c r="E1" s="13" t="s">
        <v>48</v>
      </c>
    </row>
    <row r="2">
      <c r="A2" s="14"/>
      <c r="B2" s="15"/>
      <c r="C2" s="15"/>
      <c r="D2" s="15"/>
      <c r="E2" s="16" t="s">
        <v>59</v>
      </c>
    </row>
    <row r="3">
      <c r="A3" s="14">
        <v>1.0</v>
      </c>
      <c r="B3" s="15" t="s">
        <v>60</v>
      </c>
      <c r="C3" s="15" t="s">
        <v>60</v>
      </c>
      <c r="D3" s="15" t="s">
        <v>51</v>
      </c>
      <c r="E3" s="16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table_name='company' ;")</f>
        <v>INSERT INTO system_parameters.business_fields(
        table_id, field_name, field_type, description, is_primary_key)
        SELECT table_id, 'company_id','SERIAL', 'company id', true FROM system_parameters.business_tables WHERE table_name='company' ;</v>
      </c>
    </row>
    <row r="4">
      <c r="A4" s="14">
        <f t="shared" ref="A4:A6" si="1">A3+1</f>
        <v>2</v>
      </c>
      <c r="B4" s="15" t="s">
        <v>61</v>
      </c>
      <c r="C4" s="15" t="s">
        <v>62</v>
      </c>
      <c r="D4" s="15" t="s">
        <v>54</v>
      </c>
      <c r="E4" s="10" t="str">
        <f>CONCATENATE("INSERT INTO system_parameters.business_fields(
        table_id, field_name, field_type, description)
        SELECT table_id, '",SUBSTITUTE(C4, " ", "_"),"','",D4,"', '",B4,"' FROM system_parameters.business_tables WHERE table_name='company' ;")</f>
        <v>INSERT INTO system_parameters.business_fields(
        table_id, field_name, field_type, description)
        SELECT table_id, 'company_name','VARCHAR(255)', 'Tên tổ chức phát hành' FROM system_parameters.business_tables WHERE table_name='company' ;</v>
      </c>
    </row>
    <row r="5">
      <c r="A5" s="14">
        <f t="shared" si="1"/>
        <v>3</v>
      </c>
      <c r="B5" s="15" t="s">
        <v>57</v>
      </c>
      <c r="C5" s="15" t="s">
        <v>56</v>
      </c>
      <c r="D5" s="15" t="s">
        <v>51</v>
      </c>
      <c r="E5" s="10" t="str">
        <f>CONCATENATE("INSERT INTO system_parameters.business_fields(
        table_id, field_name, field_type, description, is_foreign_key, referenced_table_id, referenced_field_id)
        SELECT a.table_id, '",SUBSTITUTE(C5, " ", "_"),"','",D5,"', '",B5,"', true, b.table_id, c.field_id FROM system_parameters.business_tables a, system_parameters.business_tables b, system_parameters.business_fields c WHERE a.table_name='company' and b.table_name='industry' and b.table_id=c.table_id and c.is_primary_key=true"&amp;";")</f>
        <v>INSERT INTO system_parameters.business_fields(
        table_id, field_name, field_type, description, is_foreign_key, referenced_table_id, referenced_field_id)
        SELECT a.table_id, 'industry_id','SERIAL', 'Tên nghành cụ thể', true, b.table_id, c.field_id FROM system_parameters.business_tables a, system_parameters.business_tables b, system_parameters.business_fields c WHERE a.table_name='company' and b.table_name='industry' and b.table_id=c.table_id and c.is_primary_key=true;</v>
      </c>
    </row>
    <row r="6">
      <c r="A6" s="14">
        <f t="shared" si="1"/>
        <v>4</v>
      </c>
      <c r="B6" s="15" t="s">
        <v>63</v>
      </c>
      <c r="C6" s="15" t="s">
        <v>64</v>
      </c>
      <c r="D6" s="15" t="s">
        <v>65</v>
      </c>
      <c r="E6" s="10" t="str">
        <f>CONCATENATE("INSERT INTO system_parameters.business_fields(
        table_id, field_name, field_type, description)
        SELECT table_id, '",SUBSTITUTE(C6, " ", "_"),"','",D6,"', '",B6,"' FROM system_parameters.business_tables WHERE table_name='company' ;")</f>
        <v>INSERT INTO system_parameters.business_fields(
        table_id, field_name, field_type, description)
        SELECT table_id, 'country','VARCHAR(100)', 'Quốc gia' FROM system_parameters.business_tables WHERE table_name='company' ;</v>
      </c>
    </row>
    <row r="7">
      <c r="A7" s="14"/>
      <c r="B7" s="15"/>
      <c r="C7" s="15"/>
      <c r="D7" s="15"/>
      <c r="E7" s="1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8.63"/>
    <col customWidth="1" min="3" max="3" width="15.5"/>
    <col customWidth="1" min="4" max="4" width="12.88"/>
    <col customWidth="1" min="5" max="5" width="46.75"/>
  </cols>
  <sheetData>
    <row r="1">
      <c r="A1" s="11" t="s">
        <v>0</v>
      </c>
      <c r="B1" s="11" t="s">
        <v>45</v>
      </c>
      <c r="C1" s="12" t="s">
        <v>46</v>
      </c>
      <c r="D1" s="12" t="s">
        <v>47</v>
      </c>
      <c r="E1" s="13" t="s">
        <v>48</v>
      </c>
    </row>
    <row r="2">
      <c r="A2" s="14"/>
      <c r="B2" s="15"/>
      <c r="C2" s="15"/>
      <c r="D2" s="15"/>
      <c r="E2" s="16" t="s">
        <v>66</v>
      </c>
    </row>
    <row r="3">
      <c r="A3" s="14">
        <v>1.0</v>
      </c>
      <c r="B3" s="15" t="s">
        <v>67</v>
      </c>
      <c r="C3" s="15" t="s">
        <v>67</v>
      </c>
      <c r="D3" s="15" t="s">
        <v>51</v>
      </c>
      <c r="E3" s="16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table_name='stock' ;")</f>
        <v>INSERT INTO system_parameters.business_fields(
        table_id, field_name, field_type, description, is_primary_key)
        SELECT table_id, 'stock_id','SERIAL', 'stock_id', true FROM system_parameters.business_tables WHERE table_name='stock' ;</v>
      </c>
    </row>
    <row r="4">
      <c r="A4" s="14">
        <f t="shared" ref="A4:A8" si="1">A3+1</f>
        <v>2</v>
      </c>
      <c r="B4" s="15" t="s">
        <v>68</v>
      </c>
      <c r="C4" s="15" t="s">
        <v>69</v>
      </c>
      <c r="D4" s="15" t="s">
        <v>70</v>
      </c>
      <c r="E4" s="10" t="str">
        <f>CONCATENATE("INSERT INTO system_parameters.business_fields(
        table_id, field_name, field_type, description)
        SELECT table_id, '",SUBSTITUTE(C4, " ", "_"),"','",D4,"', '",B4,"' FROM system_parameters.business_tables WHERE table_name='stock' ;")</f>
        <v>INSERT INTO system_parameters.business_fields(
        table_id, field_name, field_type, description)
        SELECT table_id, 'ticker','VARCHAR(10)', 'Mã chứng khoán' FROM system_parameters.business_tables WHERE table_name='stock' ;</v>
      </c>
    </row>
    <row r="5">
      <c r="A5" s="14">
        <f t="shared" si="1"/>
        <v>3</v>
      </c>
      <c r="B5" s="15" t="s">
        <v>71</v>
      </c>
      <c r="C5" s="15" t="s">
        <v>72</v>
      </c>
      <c r="D5" s="15" t="s">
        <v>51</v>
      </c>
      <c r="E5" s="10" t="str">
        <f>CONCATENATE("INSERT INTO system_parameters.business_fields(
        table_id, field_name, field_type, description, is_foreign_key, referenced_table_id, referenced_field_id)
        SELECT a.table_id, '",SUBSTITUTE(C5, " ", "_"),"','",D5,"', '",B5,"', true, b.table_id, c.field_id FROM system_parameters.business_tables a, system_parameters.business_tables b, system_parameters.business_fields c WHERE a.table_name='stock' and b.table_name='company' and b.table_id=c.table_id and c.is_primary_key=true;")</f>
        <v>INSERT INTO system_parameters.business_fields(
        table_id, field_name, field_type, description, is_foreign_key, referenced_table_id, referenced_field_id)
        SELECT a.table_id, 'company_id','SERIAL', 'Tên công ty', true, b.table_id, c.field_id FROM system_parameters.business_tables a, system_parameters.business_tables b, system_parameters.business_fields c WHERE a.table_name='stock' and b.table_name='company' and b.table_id=c.table_id and c.is_primary_key=true;</v>
      </c>
    </row>
    <row r="6">
      <c r="A6" s="14">
        <f t="shared" si="1"/>
        <v>4</v>
      </c>
      <c r="B6" s="15" t="s">
        <v>73</v>
      </c>
      <c r="C6" s="15" t="s">
        <v>74</v>
      </c>
      <c r="D6" s="15" t="s">
        <v>75</v>
      </c>
      <c r="E6" s="10" t="str">
        <f t="shared" ref="E6:E8" si="2">CONCATENATE("INSERT INTO system_parameters.business_fields(
        table_id, field_name, field_type, description)
        SELECT table_id, '",SUBSTITUTE(C6, " ", "_"),"','",D6,"', '",B6,"' FROM system_parameters.business_tables WHERE table_name='stock' ;")</f>
        <v>INSERT INTO system_parameters.business_fields(
        table_id, field_name, field_type, description)
        SELECT table_id, 'listing_date','DATE', 'Ngày niêm yết' FROM system_parameters.business_tables WHERE table_name='stock' ;</v>
      </c>
    </row>
    <row r="7">
      <c r="A7" s="14">
        <f t="shared" si="1"/>
        <v>5</v>
      </c>
      <c r="B7" s="15" t="s">
        <v>76</v>
      </c>
      <c r="C7" s="15" t="s">
        <v>77</v>
      </c>
      <c r="D7" s="15" t="s">
        <v>78</v>
      </c>
      <c r="E7" s="10" t="str">
        <f t="shared" si="2"/>
        <v>INSERT INTO system_parameters.business_fields(
        table_id, field_name, field_type, description)
        SELECT table_id, 'outstanding_shares','BIGINT', 'Cổ phiếu lưu hành' FROM system_parameters.business_tables WHERE table_name='stock' ;</v>
      </c>
    </row>
    <row r="8">
      <c r="A8" s="14">
        <f t="shared" si="1"/>
        <v>6</v>
      </c>
      <c r="B8" s="15" t="s">
        <v>79</v>
      </c>
      <c r="C8" s="15" t="s">
        <v>80</v>
      </c>
      <c r="D8" s="15" t="s">
        <v>81</v>
      </c>
      <c r="E8" s="10" t="str">
        <f t="shared" si="2"/>
        <v>INSERT INTO system_parameters.business_fields(
        table_id, field_name, field_type, description)
        SELECT table_id, 'exchange','VARCHAR(50)', 'Sàn niêm yết' FROM system_parameters.business_tables WHERE table_name='stock' ;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26.0"/>
    <col customWidth="1" min="3" max="3" width="12.63"/>
    <col customWidth="1" min="4" max="4" width="55.63"/>
    <col customWidth="1" min="5" max="5" width="47.5"/>
  </cols>
  <sheetData>
    <row r="1">
      <c r="A1" s="11" t="s">
        <v>0</v>
      </c>
      <c r="B1" s="11" t="s">
        <v>45</v>
      </c>
      <c r="C1" s="12" t="s">
        <v>46</v>
      </c>
      <c r="D1" s="12" t="s">
        <v>47</v>
      </c>
      <c r="E1" s="13" t="s">
        <v>48</v>
      </c>
    </row>
    <row r="2">
      <c r="A2" s="14"/>
      <c r="B2" s="15"/>
      <c r="C2" s="15"/>
      <c r="D2" s="15"/>
      <c r="E2" s="16" t="s">
        <v>82</v>
      </c>
    </row>
    <row r="3">
      <c r="A3" s="14">
        <f>1</f>
        <v>1</v>
      </c>
      <c r="B3" s="15" t="s">
        <v>83</v>
      </c>
      <c r="C3" s="15" t="s">
        <v>83</v>
      </c>
      <c r="D3" s="15" t="s">
        <v>51</v>
      </c>
      <c r="E3" s="16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table_name='user' ;")</f>
        <v>INSERT INTO system_parameters.business_fields(
        table_id, field_name, field_type, description, is_primary_key)
        SELECT table_id, 'user_id','SERIAL', 'user_id', true FROM system_parameters.business_tables WHERE table_name='user' ;</v>
      </c>
    </row>
    <row r="4">
      <c r="A4" s="14">
        <f t="shared" ref="A4:A12" si="1">A3+1</f>
        <v>2</v>
      </c>
      <c r="B4" s="6" t="s">
        <v>84</v>
      </c>
      <c r="C4" s="6" t="s">
        <v>85</v>
      </c>
      <c r="D4" s="15" t="s">
        <v>86</v>
      </c>
      <c r="E4" s="10" t="str">
        <f t="shared" ref="E4:E12" si="2">CONCATENATE("INSERT INTO system_parameters.business_fields(
        table_id, field_name, field_type, description)
        SELECT table_id, '",SUBSTITUTE(C4, " ", "_"),"','",D4,"', '",B4,"' FROM system_parameters.business_tables WHERE table_name='user' ;")</f>
        <v>INSERT INTO system_parameters.business_fields(
        table_id, field_name, field_type, description)
        SELECT table_id, 'user_type','VARCHAR(20)', 'Loại người dùng' FROM system_parameters.business_tables WHERE table_name='user' ;</v>
      </c>
    </row>
    <row r="5">
      <c r="A5" s="14">
        <f t="shared" si="1"/>
        <v>3</v>
      </c>
      <c r="B5" s="15" t="s">
        <v>87</v>
      </c>
      <c r="C5" s="15" t="s">
        <v>88</v>
      </c>
      <c r="D5" s="15" t="s">
        <v>89</v>
      </c>
      <c r="E5" s="10" t="str">
        <f t="shared" si="2"/>
        <v>INSERT INTO system_parameters.business_fields(
        table_id, field_name, field_type, description)
        SELECT table_id, 'experience','TEXT', 'Kinh nghiệm của leader' FROM system_parameters.business_tables WHERE table_name='user' ;</v>
      </c>
    </row>
    <row r="6">
      <c r="A6" s="14">
        <f t="shared" si="1"/>
        <v>4</v>
      </c>
      <c r="B6" s="15" t="s">
        <v>90</v>
      </c>
      <c r="C6" s="15" t="s">
        <v>91</v>
      </c>
      <c r="D6" s="15" t="s">
        <v>89</v>
      </c>
      <c r="E6" s="10" t="str">
        <f t="shared" si="2"/>
        <v>INSERT INTO system_parameters.business_fields(
        table_id, field_name, field_type, description)
        SELECT table_id, 'investment_strategy','TEXT', 'Chiến lược đầu tư leader' FROM system_parameters.business_tables WHERE table_name='user' ;</v>
      </c>
    </row>
    <row r="7">
      <c r="A7" s="14">
        <f t="shared" si="1"/>
        <v>5</v>
      </c>
      <c r="B7" s="15" t="s">
        <v>92</v>
      </c>
      <c r="C7" s="15" t="s">
        <v>93</v>
      </c>
      <c r="D7" s="15" t="s">
        <v>94</v>
      </c>
      <c r="E7" s="10" t="str">
        <f t="shared" si="2"/>
        <v>INSERT INTO system_parameters.business_fields(
        table_id, field_name, field_type, description)
        SELECT table_id, 'capital_scale','NUMERIC(15, 2)', 'Quy mô vốn đầu tư leader' FROM system_parameters.business_tables WHERE table_name='user' ;</v>
      </c>
    </row>
    <row r="8">
      <c r="A8" s="14">
        <f t="shared" si="1"/>
        <v>6</v>
      </c>
      <c r="B8" s="15" t="s">
        <v>95</v>
      </c>
      <c r="C8" s="15" t="s">
        <v>96</v>
      </c>
      <c r="D8" s="15" t="s">
        <v>89</v>
      </c>
      <c r="E8" s="10" t="str">
        <f t="shared" si="2"/>
        <v>INSERT INTO system_parameters.business_fields(
        table_id, field_name, field_type, description)
        SELECT table_id, 'ethical_commitment','TEXT', 'Cam kết đạo đức nghề nghiệp leader' FROM system_parameters.business_tables WHERE table_name='user' ;</v>
      </c>
    </row>
    <row r="9">
      <c r="A9" s="14">
        <f t="shared" si="1"/>
        <v>7</v>
      </c>
      <c r="B9" s="15" t="s">
        <v>97</v>
      </c>
      <c r="C9" s="15" t="s">
        <v>98</v>
      </c>
      <c r="D9" s="15" t="s">
        <v>81</v>
      </c>
      <c r="E9" s="10" t="str">
        <f t="shared" si="2"/>
        <v>INSERT INTO system_parameters.business_fields(
        table_id, field_name, field_type, description)
        SELECT table_id, 'risk_profile','VARCHAR(50)', 'Đánh giá độ rủi ro của follower' FROM system_parameters.business_tables WHERE table_name='user' ;</v>
      </c>
    </row>
    <row r="10">
      <c r="A10" s="14">
        <f t="shared" si="1"/>
        <v>8</v>
      </c>
      <c r="B10" s="15" t="s">
        <v>99</v>
      </c>
      <c r="C10" s="15" t="s">
        <v>100</v>
      </c>
      <c r="D10" s="15" t="s">
        <v>94</v>
      </c>
      <c r="E10" s="10" t="str">
        <f t="shared" si="2"/>
        <v>INSERT INTO system_parameters.business_fields(
        table_id, field_name, field_type, description)
        SELECT table_id, 'investment_budget','NUMERIC(15, 2)', 'Ngân sách đầu tư follower' FROM system_parameters.business_tables WHERE table_name='user' ;</v>
      </c>
    </row>
    <row r="11">
      <c r="A11" s="14">
        <f t="shared" si="1"/>
        <v>9</v>
      </c>
      <c r="B11" s="6" t="s">
        <v>101</v>
      </c>
      <c r="C11" s="6" t="s">
        <v>102</v>
      </c>
      <c r="D11" s="15" t="s">
        <v>103</v>
      </c>
      <c r="E11" s="10" t="str">
        <f t="shared" si="2"/>
        <v>INSERT INTO system_parameters.business_fields(
        table_id, field_name, field_type, description)
        SELECT table_id, 'unpaid_fee','NUMERIC(15, 0)', 'Số phí còn nợ' FROM system_parameters.business_tables WHERE table_name='user' ;</v>
      </c>
    </row>
    <row r="12">
      <c r="A12" s="14">
        <f t="shared" si="1"/>
        <v>10</v>
      </c>
      <c r="B12" s="16" t="s">
        <v>104</v>
      </c>
      <c r="C12" s="6" t="s">
        <v>105</v>
      </c>
      <c r="D12" s="6" t="s">
        <v>106</v>
      </c>
      <c r="E12" s="10" t="str">
        <f t="shared" si="2"/>
        <v>INSERT INTO system_parameters.business_fields(
        table_id, field_name, field_type, description)
        SELECT table_id, 'status','INT', 'Trạng thái tài khoản(0: bình thường, 1: nhóm nợ 30 ngày, 2: nhóm nợ 90 ngày, 3: nhóm nợ 180 ngày' FROM system_parameters.business_tables WHERE table_name='user' ;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31.75"/>
    <col customWidth="1" min="3" max="3" width="13.5"/>
    <col customWidth="1" min="5" max="5" width="70.25"/>
  </cols>
  <sheetData>
    <row r="1">
      <c r="A1" s="11" t="s">
        <v>0</v>
      </c>
      <c r="B1" s="11" t="s">
        <v>45</v>
      </c>
      <c r="C1" s="12" t="s">
        <v>46</v>
      </c>
      <c r="D1" s="12" t="s">
        <v>47</v>
      </c>
      <c r="E1" s="13" t="s">
        <v>48</v>
      </c>
    </row>
    <row r="2">
      <c r="A2" s="14"/>
      <c r="B2" s="15"/>
      <c r="C2" s="15"/>
      <c r="D2" s="15"/>
      <c r="E2" s="16" t="s">
        <v>107</v>
      </c>
    </row>
    <row r="3">
      <c r="A3" s="14">
        <v>1.0</v>
      </c>
      <c r="B3" s="15" t="s">
        <v>108</v>
      </c>
      <c r="C3" s="15" t="s">
        <v>108</v>
      </c>
      <c r="D3" s="15" t="s">
        <v>51</v>
      </c>
      <c r="E3" s="16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table_name='contract' ;")</f>
        <v>INSERT INTO system_parameters.business_fields(
        table_id, field_name, field_type, description, is_primary_key)
        SELECT table_id, 'contract_id','SERIAL', 'contract_id', true FROM system_parameters.business_tables WHERE table_name='contract' ;</v>
      </c>
    </row>
    <row r="4">
      <c r="A4" s="14">
        <f t="shared" ref="A4:A12" si="1">A3+1</f>
        <v>2</v>
      </c>
      <c r="B4" s="15" t="s">
        <v>109</v>
      </c>
      <c r="C4" s="15" t="s">
        <v>110</v>
      </c>
      <c r="D4" s="15" t="s">
        <v>81</v>
      </c>
      <c r="E4" s="10" t="str">
        <f>CONCATENATE("INSERT INTO system_parameters.business_fields(
        table_id, field_name, field_type, description)
        SELECT table_id, '",SUBSTITUTE(C4, " ", "_"),"','",D4,"', '",B4,"' FROM system_parameters.business_tables WHERE table_name='contract' ;")</f>
        <v>INSERT INTO system_parameters.business_fields(
        table_id, field_name, field_type, description)
        SELECT table_id, 'contract_number','VARCHAR(50)', 'Số hợp đồng.' FROM system_parameters.business_tables WHERE table_name='contract' ;</v>
      </c>
    </row>
    <row r="5">
      <c r="A5" s="14">
        <f t="shared" si="1"/>
        <v>3</v>
      </c>
      <c r="B5" s="15" t="s">
        <v>111</v>
      </c>
      <c r="C5" s="15" t="s">
        <v>83</v>
      </c>
      <c r="D5" s="15" t="s">
        <v>51</v>
      </c>
      <c r="E5" s="10" t="str">
        <f>CONCATENATE("INSERT INTO system_parameters.business_fields(
        table_id, field_name, field_type, description, is_foreign_key, referenced_table_id, referenced_field_id)
        SELECT a.table_id, '",SUBSTITUTE(C5, " ", "_"),"','",D5,"', '",B5,"', true, b.table_id, c.field_id FROM system_parameters.business_tables a, system_parameters.business_tables b, system_parameters.business_fields c WHERE a.table_name='contract' and b.table_name='user' and b.table_id=c.table_id and c.is_primary_key=true;")</f>
        <v>INSERT INTO system_parameters.business_fields(
        table_id, field_name, field_type, description, is_foreign_key, referenced_table_id, referenced_field_id)
        SELECT a.table_id, 'user_id','SERIAL', 'Tên Leader/Follower', true, b.table_id, c.field_id FROM system_parameters.business_tables a, system_parameters.business_tables b, system_parameters.business_fields c WHERE a.table_name='contract' and b.table_name='user' and b.table_id=c.table_id and c.is_primary_key=true;</v>
      </c>
    </row>
    <row r="6">
      <c r="A6" s="14">
        <f t="shared" si="1"/>
        <v>4</v>
      </c>
      <c r="B6" s="15" t="s">
        <v>112</v>
      </c>
      <c r="C6" s="15" t="s">
        <v>113</v>
      </c>
      <c r="D6" s="15" t="s">
        <v>54</v>
      </c>
      <c r="E6" s="10" t="str">
        <f t="shared" ref="E6:E12" si="2">CONCATENATE("INSERT INTO system_parameters.business_fields(
        table_id, field_name, field_type, description)
        SELECT table_id, '",SUBSTITUTE(C6, " ", "_"),"','",D6,"', '",B6,"' FROM system_parameters.business_tables WHERE table_name='contract' ;")</f>
        <v>INSERT INTO system_parameters.business_fields(
        table_id, field_name, field_type, description)
        SELECT table_id, 'contract_title','VARCHAR(255)', 'Tên hợp đồng.' FROM system_parameters.business_tables WHERE table_name='contract' ;</v>
      </c>
    </row>
    <row r="7">
      <c r="A7" s="14">
        <f t="shared" si="1"/>
        <v>5</v>
      </c>
      <c r="B7" s="15" t="s">
        <v>114</v>
      </c>
      <c r="C7" s="15" t="s">
        <v>115</v>
      </c>
      <c r="D7" s="15" t="s">
        <v>89</v>
      </c>
      <c r="E7" s="10" t="str">
        <f t="shared" si="2"/>
        <v>INSERT INTO system_parameters.business_fields(
        table_id, field_name, field_type, description)
        SELECT table_id, 'contract_body','TEXT', 'Nội dung hợp đồng.' FROM system_parameters.business_tables WHERE table_name='contract' ;</v>
      </c>
    </row>
    <row r="8">
      <c r="A8" s="14">
        <f t="shared" si="1"/>
        <v>6</v>
      </c>
      <c r="B8" s="15" t="s">
        <v>116</v>
      </c>
      <c r="C8" s="15" t="s">
        <v>105</v>
      </c>
      <c r="D8" s="15" t="s">
        <v>86</v>
      </c>
      <c r="E8" s="10" t="str">
        <f t="shared" si="2"/>
        <v>INSERT INTO system_parameters.business_fields(
        table_id, field_name, field_type, description)
        SELECT table_id, 'status','VARCHAR(20)', 'Trạng thái (VD: Draft, Signed, Cancelled).' FROM system_parameters.business_tables WHERE table_name='contract' ;</v>
      </c>
    </row>
    <row r="9">
      <c r="A9" s="14">
        <f t="shared" si="1"/>
        <v>7</v>
      </c>
      <c r="B9" s="15" t="s">
        <v>117</v>
      </c>
      <c r="C9" s="15" t="s">
        <v>118</v>
      </c>
      <c r="D9" s="15" t="s">
        <v>119</v>
      </c>
      <c r="E9" s="10" t="str">
        <f t="shared" si="2"/>
        <v>INSERT INTO system_parameters.business_fields(
        table_id, field_name, field_type, description)
        SELECT table_id, 'created_at','TIMESTAMP', 'Ngày tạo hợp đồng.' FROM system_parameters.business_tables WHERE table_name='contract' ;</v>
      </c>
    </row>
    <row r="10">
      <c r="A10" s="14">
        <f t="shared" si="1"/>
        <v>8</v>
      </c>
      <c r="B10" s="15" t="s">
        <v>120</v>
      </c>
      <c r="C10" s="15" t="s">
        <v>121</v>
      </c>
      <c r="D10" s="15" t="s">
        <v>119</v>
      </c>
      <c r="E10" s="10" t="str">
        <f t="shared" si="2"/>
        <v>INSERT INTO system_parameters.business_fields(
        table_id, field_name, field_type, description)
        SELECT table_id, 'signed_at','TIMESTAMP', 'Ngày ký hợp đồng.' FROM system_parameters.business_tables WHERE table_name='contract' ;</v>
      </c>
    </row>
    <row r="11">
      <c r="A11" s="14">
        <f t="shared" si="1"/>
        <v>9</v>
      </c>
      <c r="B11" s="15" t="s">
        <v>122</v>
      </c>
      <c r="C11" s="15" t="s">
        <v>123</v>
      </c>
      <c r="D11" s="15" t="s">
        <v>124</v>
      </c>
      <c r="E11" s="10" t="str">
        <f t="shared" si="2"/>
        <v>INSERT INTO system_parameters.business_fields(
        table_id, field_name, field_type, description)
        SELECT table_id, 'signature_data','JSONB', 'Dữ liệu chữ ký số (VD: public key, hash).' FROM system_parameters.business_tables WHERE table_name='contract' ;</v>
      </c>
    </row>
    <row r="12">
      <c r="A12" s="14">
        <f t="shared" si="1"/>
        <v>10</v>
      </c>
      <c r="B12" s="6" t="s">
        <v>125</v>
      </c>
      <c r="C12" s="6" t="s">
        <v>126</v>
      </c>
      <c r="D12" s="6" t="s">
        <v>106</v>
      </c>
      <c r="E12" s="10" t="str">
        <f t="shared" si="2"/>
        <v>INSERT INTO system_parameters.business_fields(
        table_id, field_name, field_type, description)
        SELECT table_id, 'type','INT', 'Loại hợp đồng (0: leader; 1: follower)' FROM system_parameters.business_tables WHERE table_name='contract' ;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40.5"/>
    <col customWidth="1" min="3" max="3" width="13.13"/>
    <col customWidth="1" min="4" max="4" width="12.0"/>
    <col customWidth="1" min="5" max="5" width="59.38"/>
  </cols>
  <sheetData>
    <row r="1">
      <c r="A1" s="11" t="s">
        <v>0</v>
      </c>
      <c r="B1" s="11" t="s">
        <v>45</v>
      </c>
      <c r="C1" s="12" t="s">
        <v>46</v>
      </c>
      <c r="D1" s="12" t="s">
        <v>47</v>
      </c>
      <c r="E1" s="13" t="s">
        <v>48</v>
      </c>
    </row>
    <row r="2">
      <c r="A2" s="14"/>
      <c r="B2" s="15"/>
      <c r="C2" s="15"/>
      <c r="D2" s="15"/>
      <c r="E2" s="16" t="s">
        <v>127</v>
      </c>
    </row>
    <row r="3">
      <c r="A3" s="14">
        <v>1.0</v>
      </c>
      <c r="B3" s="15" t="s">
        <v>128</v>
      </c>
      <c r="C3" s="15" t="s">
        <v>128</v>
      </c>
      <c r="D3" s="15" t="s">
        <v>51</v>
      </c>
      <c r="E3" s="16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table_name='ekyc' ;")</f>
        <v>INSERT INTO system_parameters.business_fields(
        table_id, field_name, field_type, description, is_primary_key)
        SELECT table_id, 'ekyc_id','SERIAL', 'ekyc_id', true FROM system_parameters.business_tables WHERE table_name='ekyc' ;</v>
      </c>
    </row>
    <row r="4">
      <c r="A4" s="14">
        <f t="shared" ref="A4:A9" si="1">A3+1</f>
        <v>2</v>
      </c>
      <c r="B4" s="15" t="s">
        <v>129</v>
      </c>
      <c r="C4" s="15" t="s">
        <v>130</v>
      </c>
      <c r="D4" s="15" t="s">
        <v>81</v>
      </c>
      <c r="E4" s="10" t="str">
        <f>CONCATENATE("INSERT INTO system_parameters.business_fields(
        table_id, field_name, field_type, description)
        SELECT table_id, '",SUBSTITUTE(C4, " ", "_"),"','",D4,"', '",B4,"' FROM system_parameters.business_tables WHERE table_name='ekyc' ;")</f>
        <v>INSERT INTO system_parameters.business_fields(
        table_id, field_name, field_type, description)
        SELECT table_id, 'verification_type','VARCHAR(50)', 'Loại eKYC (VD: OCR, NFC, Face Match).' FROM system_parameters.business_tables WHERE table_name='ekyc' ;</v>
      </c>
    </row>
    <row r="5">
      <c r="A5" s="14">
        <f t="shared" si="1"/>
        <v>3</v>
      </c>
      <c r="B5" s="15" t="s">
        <v>111</v>
      </c>
      <c r="C5" s="15" t="s">
        <v>83</v>
      </c>
      <c r="D5" s="15" t="s">
        <v>51</v>
      </c>
      <c r="E5" s="10" t="str">
        <f>CONCATENATE("INSERT INTO system_parameters.business_fields(
        table_id, field_name, field_type, description, is_foreign_key, referenced_table_id, referenced_field_id)
        SELECT a.table_id, '",SUBSTITUTE(C5, " ", "_"),"','",D5,"', '",B5,"', true, b.table_id, c.field_id FROM system_parameters.business_tables a, system_parameters.business_tables b, system_parameters.business_fields c WHERE a.table_name='ekyc' and b.table_name='user' and b.table_id=c.table_id and c.is_primary_key=true;")</f>
        <v>INSERT INTO system_parameters.business_fields(
        table_id, field_name, field_type, description, is_foreign_key, referenced_table_id, referenced_field_id)
        SELECT a.table_id, 'user_id','SERIAL', 'Tên Leader/Follower', true, b.table_id, c.field_id FROM system_parameters.business_tables a, system_parameters.business_tables b, system_parameters.business_fields c WHERE a.table_name='ekyc' and b.table_name='user' and b.table_id=c.table_id and c.is_primary_key=true;</v>
      </c>
    </row>
    <row r="6">
      <c r="A6" s="14">
        <f t="shared" si="1"/>
        <v>4</v>
      </c>
      <c r="B6" s="15" t="s">
        <v>131</v>
      </c>
      <c r="C6" s="15" t="s">
        <v>105</v>
      </c>
      <c r="D6" s="15" t="s">
        <v>86</v>
      </c>
      <c r="E6" s="10" t="str">
        <f t="shared" ref="E6:E9" si="2">CONCATENATE("INSERT INTO system_parameters.business_fields(
        table_id, field_name, field_type, description)
        SELECT table_id, '",SUBSTITUTE(C6, " ", "_"),"','",D6,"', '",B6,"' FROM system_parameters.business_tables WHERE table_name='ekyc' ;")</f>
        <v>INSERT INTO system_parameters.business_fields(
        table_id, field_name, field_type, description)
        SELECT table_id, 'status','VARCHAR(20)', 'Trạng thái xác minh (VD: Success, Failed).' FROM system_parameters.business_tables WHERE table_name='ekyc' ;</v>
      </c>
    </row>
    <row r="7">
      <c r="A7" s="14">
        <f t="shared" si="1"/>
        <v>5</v>
      </c>
      <c r="B7" s="15" t="s">
        <v>132</v>
      </c>
      <c r="C7" s="15" t="s">
        <v>133</v>
      </c>
      <c r="D7" s="15" t="s">
        <v>124</v>
      </c>
      <c r="E7" s="10" t="str">
        <f t="shared" si="2"/>
        <v>INSERT INTO system_parameters.business_fields(
        table_id, field_name, field_type, description)
        SELECT table_id, 'verification_data','JSONB', 'Dữ liệu chi tiết (VD: ảnh khuôn mặt, thông tin CCCD).' FROM system_parameters.business_tables WHERE table_name='ekyc' ;</v>
      </c>
    </row>
    <row r="8">
      <c r="A8" s="14">
        <f t="shared" si="1"/>
        <v>6</v>
      </c>
      <c r="B8" s="15" t="s">
        <v>134</v>
      </c>
      <c r="C8" s="15" t="s">
        <v>118</v>
      </c>
      <c r="D8" s="15" t="s">
        <v>119</v>
      </c>
      <c r="E8" s="10" t="str">
        <f t="shared" si="2"/>
        <v>INSERT INTO system_parameters.business_fields(
        table_id, field_name, field_type, description)
        SELECT table_id, 'created_at','TIMESTAMP', 'Ngày bắt đầu eKYC.' FROM system_parameters.business_tables WHERE table_name='ekyc' ;</v>
      </c>
    </row>
    <row r="9">
      <c r="A9" s="14">
        <f t="shared" si="1"/>
        <v>7</v>
      </c>
      <c r="B9" s="15" t="s">
        <v>135</v>
      </c>
      <c r="C9" s="15" t="s">
        <v>136</v>
      </c>
      <c r="D9" s="15" t="s">
        <v>119</v>
      </c>
      <c r="E9" s="10" t="str">
        <f t="shared" si="2"/>
        <v>INSERT INTO system_parameters.business_fields(
        table_id, field_name, field_type, description)
        SELECT table_id, 'completed_at','TIMESTAMP', 'Ngày hoàn tất eKYC.' FROM system_parameters.business_tables WHERE table_name='ekyc' ;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28.38"/>
    <col customWidth="1" min="3" max="3" width="12.13"/>
    <col customWidth="1" min="4" max="4" width="12.88"/>
    <col customWidth="1" min="5" max="5" width="51.13"/>
  </cols>
  <sheetData>
    <row r="1">
      <c r="A1" s="11" t="s">
        <v>0</v>
      </c>
      <c r="B1" s="11" t="s">
        <v>45</v>
      </c>
      <c r="C1" s="12" t="s">
        <v>46</v>
      </c>
      <c r="D1" s="12" t="s">
        <v>47</v>
      </c>
      <c r="E1" s="13" t="s">
        <v>48</v>
      </c>
    </row>
    <row r="2">
      <c r="A2" s="14"/>
      <c r="B2" s="15"/>
      <c r="C2" s="15"/>
      <c r="D2" s="15"/>
      <c r="E2" s="16" t="s">
        <v>137</v>
      </c>
    </row>
    <row r="3">
      <c r="A3" s="14">
        <v>1.0</v>
      </c>
      <c r="B3" s="15" t="s">
        <v>138</v>
      </c>
      <c r="C3" s="15" t="s">
        <v>138</v>
      </c>
      <c r="D3" s="15" t="s">
        <v>51</v>
      </c>
      <c r="E3" s="16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table_name='nfc' ;")</f>
        <v>INSERT INTO system_parameters.business_fields(
        table_id, field_name, field_type, description, is_primary_key)
        SELECT table_id, 'nfc_id','SERIAL', 'nfc_id', true FROM system_parameters.business_tables WHERE table_name='nfc' ;</v>
      </c>
    </row>
    <row r="4">
      <c r="A4" s="14">
        <f t="shared" ref="A4:A10" si="1">A3+1</f>
        <v>2</v>
      </c>
      <c r="B4" s="15" t="s">
        <v>139</v>
      </c>
      <c r="C4" s="15" t="s">
        <v>140</v>
      </c>
      <c r="D4" s="15" t="s">
        <v>86</v>
      </c>
      <c r="E4" s="10" t="str">
        <f>CONCATENATE("INSERT INTO system_parameters.business_fields(
        table_id, field_name, field_type, description)
        SELECT table_id, '",SUBSTITUTE(C4, " ", "_"),"','",D4,"', '",B4,"' FROM system_parameters.business_tables WHERE table_name='nfc' ;")</f>
        <v>INSERT INTO system_parameters.business_fields(
        table_id, field_name, field_type, description)
        SELECT table_id, 'cccd_number','VARCHAR(20)', 'Số căn cước công dân.' FROM system_parameters.business_tables WHERE table_name='nfc' ;</v>
      </c>
    </row>
    <row r="5">
      <c r="A5" s="14">
        <f t="shared" si="1"/>
        <v>3</v>
      </c>
      <c r="B5" s="15" t="s">
        <v>111</v>
      </c>
      <c r="C5" s="15" t="s">
        <v>83</v>
      </c>
      <c r="D5" s="15" t="s">
        <v>51</v>
      </c>
      <c r="E5" s="10" t="str">
        <f>CONCATENATE("INSERT INTO system_parameters.business_fields(
        table_id, field_name, field_type, description, is_foreign_key, referenced_table_id, referenced_field_id)
        SELECT a.table_id, '",SUBSTITUTE(C5, " ", "_"),"','",D5,"', '",B5,"', true, b.table_id, c.field_id FROM system_parameters.business_tables a, system_parameters.business_tables b, system_parameters.business_fields c WHERE a.table_name='nfc' and b.table_name='user' and b.table_id=c.table_id and c.is_primary_key=true;")</f>
        <v>INSERT INTO system_parameters.business_fields(
        table_id, field_name, field_type, description, is_foreign_key, referenced_table_id, referenced_field_id)
        SELECT a.table_id, 'user_id','SERIAL', 'Tên Leader/Follower', true, b.table_id, c.field_id FROM system_parameters.business_tables a, system_parameters.business_tables b, system_parameters.business_fields c WHERE a.table_name='nfc' and b.table_name='user' and b.table_id=c.table_id and c.is_primary_key=true;</v>
      </c>
    </row>
    <row r="6">
      <c r="A6" s="14">
        <f t="shared" si="1"/>
        <v>4</v>
      </c>
      <c r="B6" s="15" t="s">
        <v>141</v>
      </c>
      <c r="C6" s="15" t="s">
        <v>142</v>
      </c>
      <c r="D6" s="15" t="s">
        <v>75</v>
      </c>
      <c r="E6" s="10" t="str">
        <f t="shared" ref="E6:E10" si="2">CONCATENATE("INSERT INTO system_parameters.business_fields(
        table_id, field_name, field_type, description)
        SELECT table_id, '",SUBSTITUTE(C6, " ", "_"),"','",D6,"', '",B6,"' FROM system_parameters.business_tables WHERE table_name='nfc' ;")</f>
        <v>INSERT INTO system_parameters.business_fields(
        table_id, field_name, field_type, description)
        SELECT table_id, 'issue_date','DATE', 'Ngày cấp.' FROM system_parameters.business_tables WHERE table_name='nfc' ;</v>
      </c>
    </row>
    <row r="7">
      <c r="A7" s="14">
        <f t="shared" si="1"/>
        <v>5</v>
      </c>
      <c r="B7" s="15" t="s">
        <v>143</v>
      </c>
      <c r="C7" s="15" t="s">
        <v>144</v>
      </c>
      <c r="D7" s="15" t="s">
        <v>75</v>
      </c>
      <c r="E7" s="10" t="str">
        <f t="shared" si="2"/>
        <v>INSERT INTO system_parameters.business_fields(
        table_id, field_name, field_type, description)
        SELECT table_id, 'expiry_date','DATE', 'Ngày hết hạn.' FROM system_parameters.business_tables WHERE table_name='nfc' ;</v>
      </c>
    </row>
    <row r="8">
      <c r="A8" s="14">
        <f t="shared" si="1"/>
        <v>6</v>
      </c>
      <c r="B8" s="15" t="s">
        <v>145</v>
      </c>
      <c r="C8" s="15" t="s">
        <v>146</v>
      </c>
      <c r="D8" s="15" t="s">
        <v>147</v>
      </c>
      <c r="E8" s="10" t="str">
        <f t="shared" si="2"/>
        <v>INSERT INTO system_parameters.business_fields(
        table_id, field_name, field_type, description)
        SELECT table_id, 'place_of_issue','VARCHAR(150)', 'Nơi cấp.' FROM system_parameters.business_tables WHERE table_name='nfc' ;</v>
      </c>
    </row>
    <row r="9">
      <c r="A9" s="14">
        <f t="shared" si="1"/>
        <v>7</v>
      </c>
      <c r="B9" s="15" t="s">
        <v>148</v>
      </c>
      <c r="C9" s="15" t="s">
        <v>149</v>
      </c>
      <c r="D9" s="15" t="s">
        <v>124</v>
      </c>
      <c r="E9" s="10" t="str">
        <f t="shared" si="2"/>
        <v>INSERT INTO system_parameters.business_fields(
        table_id, field_name, field_type, description)
        SELECT table_id, 'personal_data','JSONB', 'Thông tin cá nhân (VD: ảnh, chữ ký).' FROM system_parameters.business_tables WHERE table_name='nfc' ;</v>
      </c>
    </row>
    <row r="10">
      <c r="A10" s="14">
        <f t="shared" si="1"/>
        <v>8</v>
      </c>
      <c r="B10" s="15" t="s">
        <v>150</v>
      </c>
      <c r="C10" s="15" t="s">
        <v>118</v>
      </c>
      <c r="D10" s="15" t="s">
        <v>119</v>
      </c>
      <c r="E10" s="10" t="str">
        <f t="shared" si="2"/>
        <v>INSERT INTO system_parameters.business_fields(
        table_id, field_name, field_type, description)
        SELECT table_id, 'created_at','TIMESTAMP', 'Ngày lưu thông tin NFC.' FROM system_parameters.business_tables WHERE table_name='nfc' ;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32.75"/>
    <col customWidth="1" min="3" max="3" width="12.75"/>
    <col customWidth="1" min="4" max="4" width="24.13"/>
    <col customWidth="1" min="5" max="5" width="55.88"/>
  </cols>
  <sheetData>
    <row r="1">
      <c r="A1" s="11" t="s">
        <v>0</v>
      </c>
      <c r="B1" s="11" t="s">
        <v>45</v>
      </c>
      <c r="C1" s="12" t="s">
        <v>46</v>
      </c>
      <c r="D1" s="12" t="s">
        <v>47</v>
      </c>
      <c r="E1" s="13" t="s">
        <v>48</v>
      </c>
    </row>
    <row r="2">
      <c r="A2" s="14"/>
      <c r="B2" s="15"/>
      <c r="C2" s="15"/>
      <c r="D2" s="15"/>
      <c r="E2" s="16" t="s">
        <v>151</v>
      </c>
    </row>
    <row r="3">
      <c r="A3" s="14">
        <v>1.0</v>
      </c>
      <c r="B3" s="6" t="s">
        <v>152</v>
      </c>
      <c r="C3" s="6" t="s">
        <v>153</v>
      </c>
      <c r="D3" s="15" t="s">
        <v>51</v>
      </c>
      <c r="E3" s="16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table_name='package' ;")</f>
        <v>INSERT INTO system_parameters.business_fields(
        table_id, field_name, field_type, description, is_primary_key)
        SELECT table_id, 'package_id','SERIAL', 'ID duy nhất của gói dịch vụ.', true FROM system_parameters.business_tables WHERE table_name='package' ;</v>
      </c>
    </row>
    <row r="4">
      <c r="A4" s="14">
        <f t="shared" ref="A4:A9" si="1">A3+1</f>
        <v>2</v>
      </c>
      <c r="B4" s="6" t="s">
        <v>154</v>
      </c>
      <c r="C4" s="6" t="s">
        <v>155</v>
      </c>
      <c r="D4" s="6" t="s">
        <v>65</v>
      </c>
      <c r="E4" s="10" t="str">
        <f t="shared" ref="E4:E9" si="2">CONCATENATE("INSERT INTO system_parameters.business_fields(
        table_id, field_name, field_type, description)
        SELECT table_id, '",SUBSTITUTE(C4, " ", "_"),"','",D4,"', '",B4,"' FROM system_parameters.business_tables WHERE table_name='package' ;")</f>
        <v>INSERT INTO system_parameters.business_fields(
        table_id, field_name, field_type, description)
        SELECT table_id, 'name','VARCHAR(100)', 'Tên gói dịch vụ.' FROM system_parameters.business_tables WHERE table_name='package' ;</v>
      </c>
    </row>
    <row r="5">
      <c r="A5" s="14">
        <f t="shared" si="1"/>
        <v>3</v>
      </c>
      <c r="B5" s="6" t="s">
        <v>156</v>
      </c>
      <c r="C5" s="6" t="s">
        <v>157</v>
      </c>
      <c r="D5" s="6" t="s">
        <v>89</v>
      </c>
      <c r="E5" s="10" t="str">
        <f t="shared" si="2"/>
        <v>INSERT INTO system_parameters.business_fields(
        table_id, field_name, field_type, description)
        SELECT table_id, 'description','TEXT', 'Mô tả chi tiết gói dịch vụ.' FROM system_parameters.business_tables WHERE table_name='package' ;</v>
      </c>
    </row>
    <row r="6">
      <c r="A6" s="14">
        <f t="shared" si="1"/>
        <v>4</v>
      </c>
      <c r="B6" s="6" t="s">
        <v>158</v>
      </c>
      <c r="C6" s="6" t="s">
        <v>105</v>
      </c>
      <c r="D6" s="6" t="s">
        <v>81</v>
      </c>
      <c r="E6" s="10" t="str">
        <f t="shared" si="2"/>
        <v>INSERT INTO system_parameters.business_fields(
        table_id, field_name, field_type, description)
        SELECT table_id, 'status','VARCHAR(50)', 'Trạng thái gói (VD: Active, Inactive).' FROM system_parameters.business_tables WHERE table_name='package' ;</v>
      </c>
    </row>
    <row r="7">
      <c r="A7" s="14">
        <f t="shared" si="1"/>
        <v>5</v>
      </c>
      <c r="B7" s="6" t="s">
        <v>159</v>
      </c>
      <c r="C7" s="6" t="s">
        <v>118</v>
      </c>
      <c r="D7" s="6" t="s">
        <v>119</v>
      </c>
      <c r="E7" s="10" t="str">
        <f t="shared" si="2"/>
        <v>INSERT INTO system_parameters.business_fields(
        table_id, field_name, field_type, description)
        SELECT table_id, 'created_at','TIMESTAMP', 'Thời gian tạo gói dịch vụ.' FROM system_parameters.business_tables WHERE table_name='package' ;</v>
      </c>
    </row>
    <row r="8">
      <c r="A8" s="14">
        <f t="shared" si="1"/>
        <v>6</v>
      </c>
      <c r="B8" s="6" t="s">
        <v>160</v>
      </c>
      <c r="C8" s="6" t="s">
        <v>161</v>
      </c>
      <c r="D8" s="6" t="s">
        <v>119</v>
      </c>
      <c r="E8" s="10" t="str">
        <f t="shared" si="2"/>
        <v>INSERT INTO system_parameters.business_fields(
        table_id, field_name, field_type, description)
        SELECT table_id, 'updated_at','TIMESTAMP', 'Thời gian cập nhật lần cuối.' FROM system_parameters.business_tables WHERE table_name='package' ;</v>
      </c>
    </row>
    <row r="9">
      <c r="A9" s="14">
        <f t="shared" si="1"/>
        <v>7</v>
      </c>
      <c r="B9" s="16" t="s">
        <v>162</v>
      </c>
      <c r="C9" s="6" t="s">
        <v>163</v>
      </c>
      <c r="D9" s="6" t="s">
        <v>81</v>
      </c>
      <c r="E9" s="10" t="str">
        <f t="shared" si="2"/>
        <v>INSERT INTO system_parameters.business_fields(
        table_id, field_name, field_type, description)
        SELECT table_id, 'table_name','VARCHAR(50)', 'Tên bảng chứa thông tin của leader (advisory, financial_metric, watch_list, new_article, trade_signal)' FROM system_parameters.business_tables WHERE table_name='package' ;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25.38"/>
    <col customWidth="1" min="3" max="3" width="15.13"/>
    <col customWidth="1" min="4" max="4" width="24.13"/>
    <col customWidth="1" min="5" max="5" width="49.88"/>
  </cols>
  <sheetData>
    <row r="1">
      <c r="A1" s="11" t="s">
        <v>0</v>
      </c>
      <c r="B1" s="11" t="s">
        <v>45</v>
      </c>
      <c r="C1" s="12" t="s">
        <v>46</v>
      </c>
      <c r="D1" s="12" t="s">
        <v>47</v>
      </c>
      <c r="E1" s="13" t="s">
        <v>48</v>
      </c>
    </row>
    <row r="2">
      <c r="A2" s="14"/>
      <c r="B2" s="15"/>
      <c r="C2" s="15"/>
      <c r="D2" s="15"/>
      <c r="E2" s="16" t="s">
        <v>164</v>
      </c>
    </row>
    <row r="3">
      <c r="A3" s="14">
        <v>1.0</v>
      </c>
      <c r="B3" s="15" t="s">
        <v>165</v>
      </c>
      <c r="C3" s="15" t="s">
        <v>166</v>
      </c>
      <c r="D3" s="15" t="s">
        <v>51</v>
      </c>
      <c r="E3" s="16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table_name='leader_package' ;")</f>
        <v>INSERT INTO system_parameters.business_fields(
        table_id, field_name, field_type, description, is_primary_key)
        SELECT table_id, 'leader_package_id','SERIAL', 'ID của gói dữ liệu', true FROM system_parameters.business_tables WHERE table_name='leader_package' ;</v>
      </c>
    </row>
    <row r="4">
      <c r="A4" s="14">
        <f t="shared" ref="A4:A10" si="1">A3+1</f>
        <v>2</v>
      </c>
      <c r="B4" s="15" t="s">
        <v>167</v>
      </c>
      <c r="C4" s="15" t="s">
        <v>168</v>
      </c>
      <c r="D4" s="15" t="s">
        <v>169</v>
      </c>
      <c r="E4" s="10" t="str">
        <f>CONCATENATE("INSERT INTO system_parameters.business_fields(
        table_id, field_name, field_type, description)
        SELECT table_id, '",SUBSTITUTE(C4, " ", "_"),"','",D4,"', '",B4,"' FROM system_parameters.business_tables WHERE table_name='leader_package' ;")</f>
        <v>INSERT INTO system_parameters.business_fields(
        table_id, field_name, field_type, description)
        SELECT table_id, 'monthly_fee','NUMERIC(15, 2) NOT NULL', 'Phí khai thác hàng tháng (VNĐ)' FROM system_parameters.business_tables WHERE table_name='leader_package' ;</v>
      </c>
    </row>
    <row r="5">
      <c r="A5" s="14">
        <f t="shared" si="1"/>
        <v>3</v>
      </c>
      <c r="B5" s="15" t="s">
        <v>170</v>
      </c>
      <c r="C5" s="15" t="s">
        <v>153</v>
      </c>
      <c r="D5" s="15" t="s">
        <v>51</v>
      </c>
      <c r="E5" s="10" t="str">
        <f>CONCATENATE("INSERT INTO system_parameters.business_fields(
        table_id, field_name, field_type, description, is_foreign_key, referenced_table_id, referenced_field_id)
        SELECT a.table_id, '",SUBSTITUTE(C5, " ", "_"),"','",D5,"', '",B5,"', true, b.table_id, c.field_id FROM system_parameters.business_tables a, system_parameters.business_tables b, system_parameters.business_fields c WHERE a.table_name='leader_package' and b.table_name='package' and b.table_id=c.table_id and c.is_primary_ke"&amp;"y=true;")</f>
        <v>INSERT INTO system_parameters.business_fields(
        table_id, field_name, field_type, description, is_foreign_key, referenced_table_id, referenced_field_id)
        SELECT a.table_id, 'package_id','SERIAL', 'Thông tin gói leader tham gia', true, b.table_id, c.field_id FROM system_parameters.business_tables a, system_parameters.business_tables b, system_parameters.business_fields c WHERE a.table_name='leader_package' and b.table_name='package' and b.table_id=c.table_id and c.is_primary_key=true;</v>
      </c>
    </row>
    <row r="6">
      <c r="A6" s="14">
        <f t="shared" si="1"/>
        <v>4</v>
      </c>
      <c r="B6" s="15" t="s">
        <v>171</v>
      </c>
      <c r="C6" s="15" t="s">
        <v>172</v>
      </c>
      <c r="D6" s="15" t="s">
        <v>173</v>
      </c>
      <c r="E6" s="10" t="str">
        <f t="shared" ref="E6:E7" si="2">CONCATENATE("INSERT INTO system_parameters.business_fields(
        table_id, field_name, field_type, description)
        SELECT table_id, '",SUBSTITUTE(C6, " ", "_"),"','",D6,"', '",B6,"' FROM system_parameters.business_tables WHERE table_name='leader_package' ;")</f>
        <v>INSERT INTO system_parameters.business_fields(
        table_id, field_name, field_type, description)
        SELECT table_id, 'record_fee_rate','NUMERIC(5, 2) DEFAULT 0.00', 'Phí truy vấn trên mỗi bản ghi (%)' FROM system_parameters.business_tables WHERE table_name='leader_package' ;</v>
      </c>
    </row>
    <row r="7">
      <c r="A7" s="14">
        <f t="shared" si="1"/>
        <v>5</v>
      </c>
      <c r="B7" s="15" t="s">
        <v>174</v>
      </c>
      <c r="C7" s="15" t="s">
        <v>118</v>
      </c>
      <c r="D7" s="15" t="s">
        <v>175</v>
      </c>
      <c r="E7" s="10" t="str">
        <f t="shared" si="2"/>
        <v>INSERT INTO system_parameters.business_fields(
        table_id, field_name, field_type, description)
        SELECT table_id, 'created_at','TIMESTAMP DEFAULT NOW()', 'Thời gian tạo' FROM system_parameters.business_tables WHERE table_name='leader_package' ;</v>
      </c>
    </row>
    <row r="8">
      <c r="A8" s="14">
        <f t="shared" si="1"/>
        <v>6</v>
      </c>
      <c r="B8" s="15" t="s">
        <v>176</v>
      </c>
      <c r="C8" s="15" t="s">
        <v>83</v>
      </c>
      <c r="D8" s="15" t="s">
        <v>51</v>
      </c>
      <c r="E8" s="10" t="str">
        <f>CONCATENATE("INSERT INTO system_parameters.business_fields(
        table_id, field_name, field_type, description, is_foreign_key, referenced_table_id, referenced_field_id)
        SELECT a.table_id, '",SUBSTITUTE(C8, " ", "_"),"','",D8,"', '",B8,"', true, b.table_id, c.field_id FROM system_parameters.business_tables a, system_parameters.business_tables b, system_parameters.business_fields c WHERE a.table_name='leader_package' and b.table_name='user' and b.table_id=c.table_id and c.is_primary_key=t"&amp;"rue;")</f>
        <v>INSERT INTO system_parameters.business_fields(
        table_id, field_name, field_type, description, is_foreign_key, referenced_table_id, referenced_field_id)
        SELECT a.table_id, 'user_id','SERIAL', 'Tên Leader', true, b.table_id, c.field_id FROM system_parameters.business_tables a, system_parameters.business_tables b, system_parameters.business_fields c WHERE a.table_name='leader_package' and b.table_name='user' and b.table_id=c.table_id and c.is_primary_key=true;</v>
      </c>
      <c r="G8" s="6"/>
    </row>
    <row r="9">
      <c r="A9" s="14">
        <f t="shared" si="1"/>
        <v>7</v>
      </c>
      <c r="B9" s="6" t="s">
        <v>158</v>
      </c>
      <c r="C9" s="6" t="s">
        <v>105</v>
      </c>
      <c r="D9" s="6" t="s">
        <v>81</v>
      </c>
      <c r="E9" s="10" t="str">
        <f t="shared" ref="E9:E10" si="3">CONCATENATE("INSERT INTO system_parameters.business_fields(
        table_id, field_name, field_type, description)
        SELECT table_id, '",SUBSTITUTE(C9, " ", "_"),"','",D9,"', '",B9,"' FROM system_parameters.business_tables WHERE table_name='leader_package' ;")</f>
        <v>INSERT INTO system_parameters.business_fields(
        table_id, field_name, field_type, description)
        SELECT table_id, 'status','VARCHAR(50)', 'Trạng thái gói (VD: Active, Inactive).' FROM system_parameters.business_tables WHERE table_name='leader_package' ;</v>
      </c>
    </row>
    <row r="10">
      <c r="A10" s="14">
        <f t="shared" si="1"/>
        <v>8</v>
      </c>
      <c r="B10" s="15" t="s">
        <v>177</v>
      </c>
      <c r="C10" s="15" t="s">
        <v>178</v>
      </c>
      <c r="D10" s="15" t="s">
        <v>173</v>
      </c>
      <c r="E10" s="10" t="str">
        <f t="shared" si="3"/>
        <v>INSERT INTO system_parameters.business_fields(
        table_id, field_name, field_type, description)
        SELECT table_id, 'trade_fee_rate','NUMERIC(5, 2) DEFAULT 0.00', 'Phí giao dịch (%)' FROM system_parameters.business_tables WHERE table_name='leader_package' ;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33.13"/>
    <col customWidth="1" min="3" max="3" width="15.13"/>
    <col customWidth="1" min="4" max="4" width="12.0"/>
    <col customWidth="1" min="5" max="5" width="49.63"/>
  </cols>
  <sheetData>
    <row r="1">
      <c r="A1" s="11" t="s">
        <v>0</v>
      </c>
      <c r="B1" s="11" t="s">
        <v>45</v>
      </c>
      <c r="C1" s="12" t="s">
        <v>46</v>
      </c>
      <c r="D1" s="12" t="s">
        <v>47</v>
      </c>
      <c r="E1" s="13" t="s">
        <v>48</v>
      </c>
    </row>
    <row r="2">
      <c r="A2" s="14"/>
      <c r="B2" s="15"/>
      <c r="C2" s="15"/>
      <c r="D2" s="15"/>
      <c r="E2" s="16" t="s">
        <v>179</v>
      </c>
    </row>
    <row r="3">
      <c r="A3" s="14">
        <v>1.0</v>
      </c>
      <c r="B3" s="6" t="s">
        <v>180</v>
      </c>
      <c r="C3" s="6" t="s">
        <v>181</v>
      </c>
      <c r="D3" s="15" t="s">
        <v>51</v>
      </c>
      <c r="E3" s="16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table_name='subscription' ;")</f>
        <v>INSERT INTO system_parameters.business_fields(
        table_id, field_name, field_type, description, is_primary_key)
        SELECT table_id, 'subscription_id','SERIAL', 'ID duy nhất của đăng ký.', true FROM system_parameters.business_tables WHERE table_name='subscription' ;</v>
      </c>
    </row>
    <row r="4">
      <c r="A4" s="14">
        <f t="shared" ref="A4:A10" si="1">A3+1</f>
        <v>2</v>
      </c>
      <c r="B4" s="6" t="s">
        <v>182</v>
      </c>
      <c r="C4" s="6" t="s">
        <v>183</v>
      </c>
      <c r="D4" s="6" t="s">
        <v>75</v>
      </c>
      <c r="E4" s="10" t="str">
        <f t="shared" ref="E4:E8" si="2">CONCATENATE("INSERT INTO system_parameters.business_fields(
        table_id, field_name, field_type, description)
        SELECT table_id, '",SUBSTITUTE(C4, " ", "_"),"','",D4,"', '",B4,"' FROM system_parameters.business_tables WHERE table_name='subscription' ;")</f>
        <v>INSERT INTO system_parameters.business_fields(
        table_id, field_name, field_type, description)
        SELECT table_id, 'start_date','DATE', 'Ngày bắt đầu sử dụng dịch vụ.' FROM system_parameters.business_tables WHERE table_name='subscription' ;</v>
      </c>
    </row>
    <row r="5">
      <c r="A5" s="14">
        <f t="shared" si="1"/>
        <v>3</v>
      </c>
      <c r="B5" s="6" t="s">
        <v>184</v>
      </c>
      <c r="C5" s="6" t="s">
        <v>185</v>
      </c>
      <c r="D5" s="6" t="s">
        <v>75</v>
      </c>
      <c r="E5" s="10" t="str">
        <f t="shared" si="2"/>
        <v>INSERT INTO system_parameters.business_fields(
        table_id, field_name, field_type, description)
        SELECT table_id, 'end_date','DATE', 'Ngày kết thúc dịch vụ.' FROM system_parameters.business_tables WHERE table_name='subscription' ;</v>
      </c>
    </row>
    <row r="6">
      <c r="A6" s="14">
        <f t="shared" si="1"/>
        <v>4</v>
      </c>
      <c r="B6" s="6" t="s">
        <v>186</v>
      </c>
      <c r="C6" s="6" t="s">
        <v>105</v>
      </c>
      <c r="D6" s="6" t="s">
        <v>81</v>
      </c>
      <c r="E6" s="10" t="str">
        <f t="shared" si="2"/>
        <v>INSERT INTO system_parameters.business_fields(
        table_id, field_name, field_type, description)
        SELECT table_id, 'status','VARCHAR(50)', 'Trạng thái (VD: Active, Expired, Cancelled).' FROM system_parameters.business_tables WHERE table_name='subscription' ;</v>
      </c>
    </row>
    <row r="7">
      <c r="A7" s="14">
        <f t="shared" si="1"/>
        <v>5</v>
      </c>
      <c r="B7" s="6" t="s">
        <v>187</v>
      </c>
      <c r="C7" s="6" t="s">
        <v>118</v>
      </c>
      <c r="D7" s="6" t="s">
        <v>119</v>
      </c>
      <c r="E7" s="10" t="str">
        <f t="shared" si="2"/>
        <v>INSERT INTO system_parameters.business_fields(
        table_id, field_name, field_type, description)
        SELECT table_id, 'created_at','TIMESTAMP', 'Thời gian tạo đăng ký.' FROM system_parameters.business_tables WHERE table_name='subscription' ;</v>
      </c>
    </row>
    <row r="8">
      <c r="A8" s="14">
        <f t="shared" si="1"/>
        <v>6</v>
      </c>
      <c r="B8" s="6" t="s">
        <v>188</v>
      </c>
      <c r="C8" s="6" t="s">
        <v>161</v>
      </c>
      <c r="D8" s="6" t="s">
        <v>119</v>
      </c>
      <c r="E8" s="10" t="str">
        <f t="shared" si="2"/>
        <v>INSERT INTO system_parameters.business_fields(
        table_id, field_name, field_type, description)
        SELECT table_id, 'updated_at','TIMESTAMP', 'Thời gian cập nhật thông tin.' FROM system_parameters.business_tables WHERE table_name='subscription' ;</v>
      </c>
    </row>
    <row r="9">
      <c r="A9" s="14">
        <f t="shared" si="1"/>
        <v>7</v>
      </c>
      <c r="B9" s="15" t="s">
        <v>189</v>
      </c>
      <c r="C9" s="15" t="s">
        <v>83</v>
      </c>
      <c r="D9" s="15" t="s">
        <v>51</v>
      </c>
      <c r="E9" s="10" t="str">
        <f>CONCATENATE("INSERT INTO system_parameters.business_fields(
        table_id, field_name, field_type, description, is_foreign_key, referenced_table_id, referenced_field_id)
        SELECT a.table_id, '",SUBSTITUTE(C9, " ", "_"),"','",D9,"', '",B9,"', true, b.table_id, c.field_id FROM system_parameters.business_tables a, system_parameters.business_tables b, system_parameters.business_fields c WHERE a.table_name='subscription' and b.table_name='user' and b.table_id=c.table_id and c.is_primary_key=tru"&amp;"e;")</f>
        <v>INSERT INTO system_parameters.business_fields(
        table_id, field_name, field_type, description, is_foreign_key, referenced_table_id, referenced_field_id)
        SELECT a.table_id, 'user_id','SERIAL', 'Tên Follower', true, b.table_id, c.field_id FROM system_parameters.business_tables a, system_parameters.business_tables b, system_parameters.business_fields c WHERE a.table_name='subscription' and b.table_name='user' and b.table_id=c.table_id and c.is_primary_key=true;</v>
      </c>
    </row>
    <row r="10">
      <c r="A10" s="14">
        <f t="shared" si="1"/>
        <v>8</v>
      </c>
      <c r="B10" s="15" t="s">
        <v>190</v>
      </c>
      <c r="C10" s="15" t="s">
        <v>166</v>
      </c>
      <c r="D10" s="15" t="s">
        <v>51</v>
      </c>
      <c r="E10" s="10" t="str">
        <f>CONCATENATE("INSERT INTO system_parameters.business_fields(
        table_id, field_name, field_type, description, is_foreign_key, referenced_table_id, referenced_field_id)
        SELECT a.table_id, '",SUBSTITUTE(C10, " ", "_"),"','",D10,"', '",B10,"', true, b.table_id, c.field_id FROM system_parameters.business_tables a, system_parameters.business_tables b, system_parameters.business_fields c WHERE a.table_name='subscription' and b.table_name='leader_package' and b.table_id=c.table_id and c.is_prima"&amp;"ry_key=true;")</f>
        <v>INSERT INTO system_parameters.business_fields(
        table_id, field_name, field_type, description, is_foreign_key, referenced_table_id, referenced_field_id)
        SELECT a.table_id, 'leader_package_id','SERIAL', 'Tên gói Leader', true, b.table_id, c.field_id FROM system_parameters.business_tables a, system_parameters.business_tables b, system_parameters.business_fields c WHERE a.table_name='subscription' and b.table_name='leader_package' and b.table_id=c.table_id and c.is_primary_key=true;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19.63"/>
    <col customWidth="1" min="5" max="5" width="49.63"/>
  </cols>
  <sheetData>
    <row r="1">
      <c r="A1" s="11" t="s">
        <v>0</v>
      </c>
      <c r="B1" s="11" t="s">
        <v>45</v>
      </c>
      <c r="C1" s="12" t="s">
        <v>46</v>
      </c>
      <c r="D1" s="12" t="s">
        <v>47</v>
      </c>
      <c r="E1" s="13" t="s">
        <v>48</v>
      </c>
    </row>
    <row r="2">
      <c r="A2" s="14"/>
      <c r="B2" s="15"/>
      <c r="C2" s="15"/>
      <c r="D2" s="15"/>
      <c r="E2" s="16" t="s">
        <v>191</v>
      </c>
    </row>
    <row r="3">
      <c r="A3" s="14">
        <v>1.0</v>
      </c>
      <c r="B3" s="15" t="s">
        <v>192</v>
      </c>
      <c r="C3" s="15" t="s">
        <v>192</v>
      </c>
      <c r="D3" s="15" t="s">
        <v>51</v>
      </c>
      <c r="E3" s="16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table_name='advisory' ;")</f>
        <v>INSERT INTO system_parameters.business_fields(
        table_id, field_name, field_type, description, is_primary_key)
        SELECT table_id, 'advice_id','SERIAL', 'advice_id', true FROM system_parameters.business_tables WHERE table_name='advisory' ;</v>
      </c>
    </row>
    <row r="4">
      <c r="A4" s="14">
        <f t="shared" ref="A4:A7" si="1">A3+1</f>
        <v>2</v>
      </c>
      <c r="B4" s="15" t="s">
        <v>193</v>
      </c>
      <c r="C4" s="15" t="s">
        <v>194</v>
      </c>
      <c r="D4" s="15" t="s">
        <v>119</v>
      </c>
      <c r="E4" s="10" t="str">
        <f>CONCATENATE("INSERT INTO system_parameters.business_fields(
        table_id, field_name, field_type, description)
        SELECT table_id, '",SUBSTITUTE(C4, " ", "_"),"','",D4,"', '",B4,"' FROM system_parameters.business_tables WHERE table_name='advisory' ;")</f>
        <v>INSERT INTO system_parameters.business_fields(
        table_id, field_name, field_type, description)
        SELECT table_id, 'advice_date','TIMESTAMP', 'Ngày lập thông tin tư vấn' FROM system_parameters.business_tables WHERE table_name='advisory' ;</v>
      </c>
    </row>
    <row r="5">
      <c r="A5" s="14">
        <f t="shared" si="1"/>
        <v>3</v>
      </c>
      <c r="B5" s="15" t="s">
        <v>176</v>
      </c>
      <c r="C5" s="15" t="s">
        <v>83</v>
      </c>
      <c r="D5" s="15" t="s">
        <v>51</v>
      </c>
      <c r="E5" s="10" t="str">
        <f>CONCATENATE("INSERT INTO system_parameters.business_fields(
        table_id, field_name, field_type, description, is_foreign_key, referenced_table_id, referenced_field_id)
        SELECT a.table_id, '",SUBSTITUTE(C5, " ", "_"),"','",D5,"', '",B5,"', true, b.table_id, c.field_id FROM system_parameters.business_tables a, system_parameters.business_tables b, system_parameters.business_fields c WHERE a.table_name='advisory' and b.table_name='user' and b.table_id=c.table_id and c.is_primary_key=true;")</f>
        <v>INSERT INTO system_parameters.business_fields(
        table_id, field_name, field_type, description, is_foreign_key, referenced_table_id, referenced_field_id)
        SELECT a.table_id, 'user_id','SERIAL', 'Tên Leader', true, b.table_id, c.field_id FROM system_parameters.business_tables a, system_parameters.business_tables b, system_parameters.business_fields c WHERE a.table_name='advisory' and b.table_name='user' and b.table_id=c.table_id and c.is_primary_key=true;</v>
      </c>
    </row>
    <row r="6">
      <c r="A6" s="14">
        <f t="shared" si="1"/>
        <v>4</v>
      </c>
      <c r="B6" s="15" t="s">
        <v>195</v>
      </c>
      <c r="C6" s="15" t="s">
        <v>67</v>
      </c>
      <c r="D6" s="15" t="s">
        <v>51</v>
      </c>
      <c r="E6" s="10" t="str">
        <f>CONCATENATE("INSERT INTO system_parameters.business_fields(
        table_id, field_name, field_type, description, is_foreign_key, referenced_table_id, referenced_field_id)
        SELECT a.table_id, '",SUBSTITUTE(C6, " ", "_"),"','",D6,"', '",B6,"', true, b.table_id, c.field_id FROM system_parameters.business_tables a, system_parameters.business_tables b, system_parameters.business_fields c WHERE a.table_name='advisory' and b.table_name='stock' and b.table_id=c.table_id and c.is_primary_key=true;")</f>
        <v>INSERT INTO system_parameters.business_fields(
        table_id, field_name, field_type, description, is_foreign_key, referenced_table_id, referenced_field_id)
        SELECT a.table_id, 'stock_id','SERIAL', 'Mã chứng khoán tư vấn', true, b.table_id, c.field_id FROM system_parameters.business_tables a, system_parameters.business_tables b, system_parameters.business_fields c WHERE a.table_name='advisory' and b.table_name='stock' and b.table_id=c.table_id and c.is_primary_key=true;</v>
      </c>
    </row>
    <row r="7">
      <c r="A7" s="14">
        <f t="shared" si="1"/>
        <v>5</v>
      </c>
      <c r="B7" s="15" t="s">
        <v>196</v>
      </c>
      <c r="C7" s="15" t="s">
        <v>197</v>
      </c>
      <c r="D7" s="15" t="s">
        <v>89</v>
      </c>
      <c r="E7" s="10" t="str">
        <f>CONCATENATE("INSERT INTO system_parameters.business_fields(
        table_id, field_name, field_type, description)
        SELECT table_id, '",SUBSTITUTE(C7, " ", "_"),"','",D7,"', '",B7,"' FROM system_parameters.business_tables WHERE table_name='advisory' ;")</f>
        <v>INSERT INTO system_parameters.business_fields(
        table_id, field_name, field_type, description)
        SELECT table_id, 'advice_content','TEXT', 'Nội dung tư vấn' FROM system_parameters.business_tables WHERE table_name='advisory' ;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22.13"/>
    <col customWidth="1" min="3" max="3" width="20.5"/>
    <col customWidth="1" min="4" max="4" width="14.63"/>
    <col customWidth="1" min="5" max="5" width="65.38"/>
    <col customWidth="1" min="6" max="6" width="61.75"/>
  </cols>
  <sheetData>
    <row r="1">
      <c r="A1" s="17" t="s">
        <v>0</v>
      </c>
      <c r="B1" s="17" t="s">
        <v>45</v>
      </c>
      <c r="C1" s="18" t="s">
        <v>46</v>
      </c>
      <c r="D1" s="18" t="s">
        <v>47</v>
      </c>
      <c r="E1" s="19" t="s">
        <v>48</v>
      </c>
      <c r="F1" s="20" t="s">
        <v>198</v>
      </c>
    </row>
    <row r="2">
      <c r="A2" s="21"/>
      <c r="B2" s="22"/>
      <c r="C2" s="22"/>
      <c r="D2" s="22"/>
      <c r="E2" s="23" t="s">
        <v>199</v>
      </c>
    </row>
    <row r="3">
      <c r="A3" s="21">
        <v>1.0</v>
      </c>
      <c r="B3" s="22" t="s">
        <v>200</v>
      </c>
      <c r="C3" s="22" t="s">
        <v>200</v>
      </c>
      <c r="D3" s="22" t="s">
        <v>51</v>
      </c>
      <c r="E3" s="23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table_name='financial_metric' ;")</f>
        <v>INSERT INTO system_parameters.business_fields(
        table_id, field_name, field_type, description, is_primary_key)
        SELECT table_id, 'metric_id','SERIAL', 'metric_id', true FROM system_parameters.business_tables WHERE table_name='financial_metric' ;</v>
      </c>
    </row>
    <row r="4">
      <c r="A4" s="21">
        <f t="shared" ref="A4:A21" si="1">A3+1</f>
        <v>2</v>
      </c>
      <c r="B4" s="22" t="s">
        <v>201</v>
      </c>
      <c r="C4" s="22" t="s">
        <v>202</v>
      </c>
      <c r="D4" s="22" t="s">
        <v>75</v>
      </c>
      <c r="E4" s="24" t="str">
        <f>CONCATENATE("INSERT INTO system_parameters.business_fields(
        table_id, field_name, field_type, description)
        SELECT table_id, '",SUBSTITUTE(C4, " ", "_"),"','",D4,"', '",B4,"' FROM system_parameters.business_tables WHERE table_name='financial_metric' ;")</f>
        <v>INSERT INTO system_parameters.business_fields(
        table_id, field_name, field_type, description)
        SELECT table_id, 'metric_date','DATE', 'Ngày lập thống kê' FROM system_parameters.business_tables WHERE table_name='financial_metric' ;</v>
      </c>
    </row>
    <row r="5">
      <c r="A5" s="21">
        <f t="shared" si="1"/>
        <v>3</v>
      </c>
      <c r="B5" s="22" t="s">
        <v>68</v>
      </c>
      <c r="C5" s="22" t="s">
        <v>67</v>
      </c>
      <c r="D5" s="22" t="s">
        <v>51</v>
      </c>
      <c r="E5" s="24" t="str">
        <f>CONCATENATE("INSERT INTO system_parameters.business_fields(
        table_id, field_name, field_type, description, is_foreign_key, referenced_table_id, referenced_field_id)
        SELECT a.table_id, '",SUBSTITUTE(C5, " ", "_"),"','",D5,"', '",B5,"', true, b.table_id, c.field_id FROM system_parameters.business_tables a, system_parameters.business_tables b, system_parameters.business_fields c WHERE a.table_name='financial_metric' and b.table_name='stock' and b.table_id=c.table_id and c.is_primary_ke"&amp;"y=true;")</f>
        <v>INSERT INTO system_parameters.business_fields(
        table_id, field_name, field_type, description, is_foreign_key, referenced_table_id, referenced_field_id)
        SELECT a.table_id, 'stock_id','SERIAL', 'Mã chứng khoán', true, b.table_id, c.field_id FROM system_parameters.business_tables a, system_parameters.business_tables b, system_parameters.business_fields c WHERE a.table_name='financial_metric' and b.table_name='stock' and b.table_id=c.table_id and c.is_primary_key=true;</v>
      </c>
    </row>
    <row r="6">
      <c r="A6" s="21">
        <f t="shared" si="1"/>
        <v>4</v>
      </c>
      <c r="B6" s="22" t="s">
        <v>203</v>
      </c>
      <c r="C6" s="22" t="s">
        <v>204</v>
      </c>
      <c r="D6" s="22" t="s">
        <v>205</v>
      </c>
      <c r="E6" s="24" t="str">
        <f t="shared" ref="E6:E21" si="2">CONCATENATE("INSERT INTO system_parameters.business_fields(
        table_id, field_name, field_type, description)
        SELECT table_id, '",SUBSTITUTE(C6, " ", "_"),"','",D6,"', '",B6,"' FROM system_parameters.business_tables WHERE table_name='financial_metric' ;")</f>
        <v>INSERT INTO system_parameters.business_fields(
        table_id, field_name, field_type, description)
        SELECT table_id, 'current_earning','NUMERIC(10, 2)', 'ESP quý hiện tại' FROM system_parameters.business_tables WHERE table_name='financial_metric' ;</v>
      </c>
      <c r="F6" s="6" t="s">
        <v>206</v>
      </c>
    </row>
    <row r="7">
      <c r="A7" s="21">
        <f t="shared" si="1"/>
        <v>5</v>
      </c>
      <c r="B7" s="22" t="s">
        <v>207</v>
      </c>
      <c r="C7" s="22" t="s">
        <v>208</v>
      </c>
      <c r="D7" s="22" t="s">
        <v>205</v>
      </c>
      <c r="E7" s="24" t="str">
        <f t="shared" si="2"/>
        <v>INSERT INTO system_parameters.business_fields(
        table_id, field_name, field_type, description)
        SELECT table_id, 'annual_earning','NUMERIC(10, 2)', 'ESP năm gần nhất' FROM system_parameters.business_tables WHERE table_name='financial_metric' ;</v>
      </c>
      <c r="F7" s="6" t="s">
        <v>206</v>
      </c>
    </row>
    <row r="8">
      <c r="A8" s="21">
        <f t="shared" si="1"/>
        <v>6</v>
      </c>
      <c r="B8" s="22" t="s">
        <v>209</v>
      </c>
      <c r="C8" s="22" t="s">
        <v>210</v>
      </c>
      <c r="D8" s="22" t="s">
        <v>89</v>
      </c>
      <c r="E8" s="24" t="str">
        <f t="shared" si="2"/>
        <v>INSERT INTO system_parameters.business_fields(
        table_id, field_name, field_type, description)
        SELECT table_id, 'new_factor','TEXT', 'Yếu tố mới' FROM system_parameters.business_tables WHERE table_name='financial_metric' ;</v>
      </c>
      <c r="F8" s="6" t="s">
        <v>211</v>
      </c>
    </row>
    <row r="9">
      <c r="A9" s="21">
        <f t="shared" si="1"/>
        <v>7</v>
      </c>
      <c r="B9" s="22" t="s">
        <v>212</v>
      </c>
      <c r="C9" s="22" t="s">
        <v>213</v>
      </c>
      <c r="D9" s="22" t="s">
        <v>89</v>
      </c>
      <c r="E9" s="24" t="str">
        <f t="shared" si="2"/>
        <v>INSERT INTO system_parameters.business_fields(
        table_id, field_name, field_type, description)
        SELECT table_id, 'supply_demand','TEXT', 'Cung cầu' FROM system_parameters.business_tables WHERE table_name='financial_metric' ;</v>
      </c>
      <c r="F9" s="6" t="s">
        <v>214</v>
      </c>
    </row>
    <row r="10">
      <c r="A10" s="21">
        <f t="shared" si="1"/>
        <v>8</v>
      </c>
      <c r="B10" s="22" t="s">
        <v>215</v>
      </c>
      <c r="C10" s="22" t="s">
        <v>216</v>
      </c>
      <c r="D10" s="22" t="s">
        <v>89</v>
      </c>
      <c r="E10" s="24" t="str">
        <f t="shared" si="2"/>
        <v>INSERT INTO system_parameters.business_fields(
        table_id, field_name, field_type, description)
        SELECT table_id, 'leader_or_laggard','TEXT', 'Mã đầu nghành' FROM system_parameters.business_tables WHERE table_name='financial_metric' ;</v>
      </c>
      <c r="F10" s="6" t="s">
        <v>217</v>
      </c>
    </row>
    <row r="11">
      <c r="A11" s="21">
        <f t="shared" si="1"/>
        <v>9</v>
      </c>
      <c r="B11" s="22" t="s">
        <v>218</v>
      </c>
      <c r="C11" s="22" t="s">
        <v>219</v>
      </c>
      <c r="D11" s="22" t="s">
        <v>89</v>
      </c>
      <c r="E11" s="24" t="str">
        <f t="shared" si="2"/>
        <v>INSERT INTO system_parameters.business_fields(
        table_id, field_name, field_type, description)
        SELECT table_id, 'institutional','TEXT', 'Tổ chức quan tâm' FROM system_parameters.business_tables WHERE table_name='financial_metric' ;</v>
      </c>
      <c r="F11" s="6" t="s">
        <v>220</v>
      </c>
    </row>
    <row r="12">
      <c r="A12" s="21">
        <f t="shared" si="1"/>
        <v>10</v>
      </c>
      <c r="B12" s="22" t="s">
        <v>221</v>
      </c>
      <c r="C12" s="22" t="s">
        <v>222</v>
      </c>
      <c r="D12" s="22" t="s">
        <v>89</v>
      </c>
      <c r="E12" s="24" t="str">
        <f t="shared" si="2"/>
        <v>INSERT INTO system_parameters.business_fields(
        table_id, field_name, field_type, description)
        SELECT table_id, 'market_direction','TEXT', 'Xu hướng thị trường hiện tại' FROM system_parameters.business_tables WHERE table_name='financial_metric' ;</v>
      </c>
      <c r="F12" s="6" t="s">
        <v>223</v>
      </c>
    </row>
    <row r="13" hidden="1">
      <c r="A13" s="21">
        <f t="shared" si="1"/>
        <v>11</v>
      </c>
      <c r="B13" s="22" t="s">
        <v>224</v>
      </c>
      <c r="C13" s="22" t="s">
        <v>224</v>
      </c>
      <c r="D13" s="22" t="s">
        <v>205</v>
      </c>
      <c r="E13" s="24" t="str">
        <f t="shared" si="2"/>
        <v>INSERT INTO system_parameters.business_fields(
        table_id, field_name, field_type, description)
        SELECT table_id, 'current_quarter_eps','NUMERIC(10, 2)', 'current_quarter_eps' FROM system_parameters.business_tables WHERE table_name='financial_metric' ;</v>
      </c>
    </row>
    <row r="14" hidden="1">
      <c r="A14" s="21">
        <f t="shared" si="1"/>
        <v>12</v>
      </c>
      <c r="B14" s="22" t="s">
        <v>225</v>
      </c>
      <c r="C14" s="22" t="s">
        <v>225</v>
      </c>
      <c r="D14" s="22" t="s">
        <v>205</v>
      </c>
      <c r="E14" s="24" t="str">
        <f t="shared" si="2"/>
        <v>INSERT INTO system_parameters.business_fields(
        table_id, field_name, field_type, description)
        SELECT table_id, 'previous_quarter_eps','NUMERIC(10, 2)', 'previous_quarter_eps' FROM system_parameters.business_tables WHERE table_name='financial_metric' ;</v>
      </c>
    </row>
    <row r="15" hidden="1">
      <c r="A15" s="21">
        <f t="shared" si="1"/>
        <v>13</v>
      </c>
      <c r="B15" s="22" t="s">
        <v>226</v>
      </c>
      <c r="C15" s="22" t="s">
        <v>226</v>
      </c>
      <c r="D15" s="22" t="s">
        <v>227</v>
      </c>
      <c r="E15" s="24" t="str">
        <f t="shared" si="2"/>
        <v>INSERT INTO system_parameters.business_fields(
        table_id, field_name, field_type, description)
        SELECT table_id, 'quarter_eps_growth','NUMERIC(5, 2)', 'quarter_eps_growth' FROM system_parameters.business_tables WHERE table_name='financial_metric' ;</v>
      </c>
    </row>
    <row r="16" hidden="1">
      <c r="A16" s="21">
        <f t="shared" si="1"/>
        <v>14</v>
      </c>
      <c r="B16" s="22" t="s">
        <v>228</v>
      </c>
      <c r="C16" s="22" t="s">
        <v>228</v>
      </c>
      <c r="D16" s="22" t="s">
        <v>205</v>
      </c>
      <c r="E16" s="24" t="str">
        <f t="shared" si="2"/>
        <v>INSERT INTO system_parameters.business_fields(
        table_id, field_name, field_type, description)
        SELECT table_id, 'current_quarter_revenue','NUMERIC(10, 2)', 'current_quarter_revenue' FROM system_parameters.business_tables WHERE table_name='financial_metric' ;</v>
      </c>
    </row>
    <row r="17" hidden="1">
      <c r="A17" s="21">
        <f t="shared" si="1"/>
        <v>15</v>
      </c>
      <c r="B17" s="22" t="s">
        <v>229</v>
      </c>
      <c r="C17" s="22" t="s">
        <v>229</v>
      </c>
      <c r="D17" s="22" t="s">
        <v>205</v>
      </c>
      <c r="E17" s="24" t="str">
        <f t="shared" si="2"/>
        <v>INSERT INTO system_parameters.business_fields(
        table_id, field_name, field_type, description)
        SELECT table_id, 'previous_quarter_revenue','NUMERIC(10, 2)', 'previous_quarter_revenue' FROM system_parameters.business_tables WHERE table_name='financial_metric' ;</v>
      </c>
    </row>
    <row r="18" hidden="1">
      <c r="A18" s="21">
        <f t="shared" si="1"/>
        <v>16</v>
      </c>
      <c r="B18" s="22" t="s">
        <v>230</v>
      </c>
      <c r="C18" s="22" t="s">
        <v>230</v>
      </c>
      <c r="D18" s="22" t="s">
        <v>227</v>
      </c>
      <c r="E18" s="24" t="str">
        <f t="shared" si="2"/>
        <v>INSERT INTO system_parameters.business_fields(
        table_id, field_name, field_type, description)
        SELECT table_id, 'quarter_revenue_growth','NUMERIC(5, 2)', 'quarter_revenue_growth' FROM system_parameters.business_tables WHERE table_name='financial_metric' ;</v>
      </c>
    </row>
    <row r="19" hidden="1">
      <c r="A19" s="21">
        <f t="shared" si="1"/>
        <v>17</v>
      </c>
      <c r="B19" s="22" t="s">
        <v>231</v>
      </c>
      <c r="C19" s="22" t="s">
        <v>231</v>
      </c>
      <c r="D19" s="22" t="s">
        <v>205</v>
      </c>
      <c r="E19" s="24" t="str">
        <f t="shared" si="2"/>
        <v>INSERT INTO system_parameters.business_fields(
        table_id, field_name, field_type, description)
        SELECT table_id, 'pe_ratio','NUMERIC(10, 2)', 'pe_ratio' FROM system_parameters.business_tables WHERE table_name='financial_metric' ;</v>
      </c>
    </row>
    <row r="20" hidden="1">
      <c r="A20" s="21">
        <f t="shared" si="1"/>
        <v>18</v>
      </c>
      <c r="B20" s="22" t="s">
        <v>232</v>
      </c>
      <c r="C20" s="22" t="s">
        <v>232</v>
      </c>
      <c r="D20" s="22" t="s">
        <v>205</v>
      </c>
      <c r="E20" s="24" t="str">
        <f t="shared" si="2"/>
        <v>INSERT INTO system_parameters.business_fields(
        table_id, field_name, field_type, description)
        SELECT table_id, 'industry_avg_pe_ratio','NUMERIC(10, 2)', 'industry_avg_pe_ratio' FROM system_parameters.business_tables WHERE table_name='financial_metric' ;</v>
      </c>
    </row>
    <row r="21" hidden="1">
      <c r="A21" s="21">
        <f t="shared" si="1"/>
        <v>19</v>
      </c>
      <c r="B21" s="22" t="s">
        <v>233</v>
      </c>
      <c r="C21" s="22" t="s">
        <v>233</v>
      </c>
      <c r="D21" s="22" t="s">
        <v>78</v>
      </c>
      <c r="E21" s="24" t="str">
        <f t="shared" si="2"/>
        <v>INSERT INTO system_parameters.business_fields(
        table_id, field_name, field_type, description)
        SELECT table_id, 'avg_50d_volume','BIGINT', 'avg_50d_volume' FROM system_parameters.business_tables WHERE table_name='financial_metric' ;</v>
      </c>
    </row>
    <row r="22">
      <c r="A22" s="25">
        <f>A12+1</f>
        <v>11</v>
      </c>
      <c r="B22" s="15" t="s">
        <v>176</v>
      </c>
      <c r="C22" s="15" t="s">
        <v>83</v>
      </c>
      <c r="D22" s="15" t="s">
        <v>51</v>
      </c>
      <c r="E22" s="10" t="str">
        <f>CONCATENATE("INSERT INTO system_parameters.business_fields(
        table_id, field_name, field_type, description, is_foreign_key, referenced_table_id, referenced_field_id)
        SELECT a.table_id, '",SUBSTITUTE(C22, " ", "_"),"','",D22,"', '",B22,"', true, b.table_id, c.field_id FROM system_parameters.business_tables a, system_parameters.business_tables b, system_parameters.business_fields c WHERE a.table_name='financial_metric' and b.table_name='user' and b.table_id=c.table_id and c.is_primary_key"&amp;"=true;")</f>
        <v>INSERT INTO system_parameters.business_fields(
        table_id, field_name, field_type, description, is_foreign_key, referenced_table_id, referenced_field_id)
        SELECT a.table_id, 'user_id','SERIAL', 'Tên Leader', true, b.table_id, c.field_id FROM system_parameters.business_tables a, system_parameters.business_tables b, system_parameters.business_fields c WHERE a.table_name='financial_metric' and b.table_name='user' and b.table_id=c.table_id and c.is_primary_key=true;</v>
      </c>
    </row>
    <row r="23">
      <c r="E23" s="26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7.88"/>
    <col customWidth="1" min="3" max="3" width="11.63"/>
    <col customWidth="1" min="5" max="5" width="59.0"/>
  </cols>
  <sheetData>
    <row r="1">
      <c r="A1" s="11" t="s">
        <v>0</v>
      </c>
      <c r="B1" s="11" t="s">
        <v>45</v>
      </c>
      <c r="C1" s="12" t="s">
        <v>46</v>
      </c>
      <c r="D1" s="12" t="s">
        <v>47</v>
      </c>
      <c r="E1" s="13" t="s">
        <v>48</v>
      </c>
    </row>
    <row r="2">
      <c r="A2" s="14"/>
      <c r="B2" s="15"/>
      <c r="C2" s="15"/>
      <c r="D2" s="15"/>
      <c r="E2" s="16" t="s">
        <v>234</v>
      </c>
    </row>
    <row r="3">
      <c r="A3" s="14">
        <v>1.0</v>
      </c>
      <c r="B3" s="15" t="s">
        <v>235</v>
      </c>
      <c r="C3" s="15" t="s">
        <v>235</v>
      </c>
      <c r="D3" s="15" t="s">
        <v>51</v>
      </c>
      <c r="E3" s="16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table_name='watch_list' ;")</f>
        <v>INSERT INTO system_parameters.business_fields(
        table_id, field_name, field_type, description, is_primary_key)
        SELECT table_id, 'watch_list_id','SERIAL', 'watch_list_id', true FROM system_parameters.business_tables WHERE table_name='watch_list' ;</v>
      </c>
    </row>
    <row r="4">
      <c r="A4" s="14">
        <f t="shared" ref="A4:A6" si="1">A3+1</f>
        <v>2</v>
      </c>
      <c r="B4" s="15" t="s">
        <v>236</v>
      </c>
      <c r="C4" s="15" t="s">
        <v>237</v>
      </c>
      <c r="D4" s="15" t="s">
        <v>75</v>
      </c>
      <c r="E4" s="10" t="str">
        <f>CONCATENATE("INSERT INTO system_parameters.business_fields(
        table_id, field_name, field_type, description)
        SELECT table_id, '",SUBSTITUTE(C4, " ", "_"),"','",D4,"', '",B4,"' FROM system_parameters.business_tables WHERE table_name='watch_list' ;")</f>
        <v>INSERT INTO system_parameters.business_fields(
        table_id, field_name, field_type, description)
        SELECT table_id, 'date_added','DATE', 'Ngày đưa vào theo dõi' FROM system_parameters.business_tables WHERE table_name='watch_list' ;</v>
      </c>
    </row>
    <row r="5">
      <c r="A5" s="14">
        <f t="shared" si="1"/>
        <v>3</v>
      </c>
      <c r="B5" s="15" t="s">
        <v>238</v>
      </c>
      <c r="C5" s="15" t="s">
        <v>67</v>
      </c>
      <c r="D5" s="15" t="s">
        <v>51</v>
      </c>
      <c r="E5" s="10" t="str">
        <f>CONCATENATE("INSERT INTO system_parameters.business_fields(
        table_id, field_name, field_type, description, is_foreign_key, referenced_table_id, referenced_field_id)
        SELECT a.table_id, '",SUBSTITUTE(C5, " ", "_"),"','",D5,"', '",B5,"', true, b.table_id, c.field_id FROM system_parameters.business_tables a, system_parameters.business_tables b, system_parameters.business_fields c WHERE a.table_name='watch_list' and b.table_name='stock' and b.table_id=c.table_id and c.is_primary_key=true"&amp;";")</f>
        <v>INSERT INTO system_parameters.business_fields(
        table_id, field_name, field_type, description, is_foreign_key, referenced_table_id, referenced_field_id)
        SELECT a.table_id, 'stock_id','SERIAL', 'Tên chứng khoán', true, b.table_id, c.field_id FROM system_parameters.business_tables a, system_parameters.business_tables b, system_parameters.business_fields c WHERE a.table_name='watch_list' and b.table_name='stock' and b.table_id=c.table_id and c.is_primary_key=true;</v>
      </c>
    </row>
    <row r="6">
      <c r="A6" s="14">
        <f t="shared" si="1"/>
        <v>4</v>
      </c>
      <c r="B6" s="15" t="s">
        <v>176</v>
      </c>
      <c r="C6" s="15" t="s">
        <v>83</v>
      </c>
      <c r="D6" s="15" t="s">
        <v>51</v>
      </c>
      <c r="E6" s="10" t="str">
        <f>CONCATENATE("INSERT INTO system_parameters.business_fields(
        table_id, field_name, field_type, description, is_foreign_key, referenced_table_id, referenced_field_id)
        SELECT a.table_id, '",SUBSTITUTE(C6, " ", "_"),"','",D6,"', '",B6,"', true, b.table_id, c.field_id FROM system_parameters.business_tables a, system_parameters.business_tables b, system_parameters.business_fields c WHERE a.table_name='watch_list' and b.table_name='user' and b.table_id=c.table_id and c.is_primary_key=true;")</f>
        <v>INSERT INTO system_parameters.business_fields(
        table_id, field_name, field_type, description, is_foreign_key, referenced_table_id, referenced_field_id)
        SELECT a.table_id, 'user_id','SERIAL', 'Tên Leader', true, b.table_id, c.field_id FROM system_parameters.business_tables a, system_parameters.business_tables b, system_parameters.business_fields c WHERE a.table_name='watch_list' and b.table_name='user' and b.table_id=c.table_id and c.is_primary_key=true;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30.5"/>
    <col customWidth="1" min="3" max="3" width="11.63"/>
    <col customWidth="1" min="4" max="4" width="12.88"/>
    <col customWidth="1" min="5" max="5" width="57.13"/>
  </cols>
  <sheetData>
    <row r="1">
      <c r="A1" s="11" t="s">
        <v>0</v>
      </c>
      <c r="B1" s="11" t="s">
        <v>45</v>
      </c>
      <c r="C1" s="12" t="s">
        <v>46</v>
      </c>
      <c r="D1" s="12" t="s">
        <v>47</v>
      </c>
      <c r="E1" s="13" t="s">
        <v>48</v>
      </c>
    </row>
    <row r="2">
      <c r="A2" s="14"/>
      <c r="B2" s="15"/>
      <c r="C2" s="15"/>
      <c r="D2" s="15"/>
      <c r="E2" s="16" t="s">
        <v>239</v>
      </c>
    </row>
    <row r="3">
      <c r="A3" s="14">
        <v>1.0</v>
      </c>
      <c r="B3" s="15" t="s">
        <v>240</v>
      </c>
      <c r="C3" s="15" t="s">
        <v>241</v>
      </c>
      <c r="D3" s="15" t="s">
        <v>51</v>
      </c>
      <c r="E3" s="16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table_name='news_source' ;")</f>
        <v>INSERT INTO system_parameters.business_fields(
        table_id, field_name, field_type, description, is_primary_key)
        SELECT table_id, 'source_id','SERIAL', 'ID của nguồn tin', true FROM system_parameters.business_tables WHERE table_name='news_source' ;</v>
      </c>
    </row>
    <row r="4">
      <c r="A4" s="14">
        <f t="shared" ref="A4:A5" si="1">A3+1</f>
        <v>2</v>
      </c>
      <c r="B4" s="15" t="s">
        <v>242</v>
      </c>
      <c r="C4" s="15" t="s">
        <v>243</v>
      </c>
      <c r="D4" s="15" t="s">
        <v>54</v>
      </c>
      <c r="E4" s="10" t="str">
        <f t="shared" ref="E4:E5" si="2">CONCATENATE("INSERT INTO system_parameters.business_fields(
        table_id, field_name, field_type, description)
        SELECT table_id, '",SUBSTITUTE(C4, " ", "_"),"','",D4,"', '",B4,"' FROM system_parameters.business_tables WHERE table_name='news_source' ;")</f>
        <v>INSERT INTO system_parameters.business_fields(
        table_id, field_name, field_type, description)
        SELECT table_id, 'source_name','VARCHAR(255)', 'Tên nguồn tin' FROM system_parameters.business_tables WHERE table_name='news_source' ;</v>
      </c>
    </row>
    <row r="5">
      <c r="A5" s="14">
        <f t="shared" si="1"/>
        <v>3</v>
      </c>
      <c r="B5" s="15" t="s">
        <v>244</v>
      </c>
      <c r="C5" s="15" t="s">
        <v>245</v>
      </c>
      <c r="D5" s="15" t="s">
        <v>81</v>
      </c>
      <c r="E5" s="10" t="str">
        <f t="shared" si="2"/>
        <v>INSERT INTO system_parameters.business_fields(
        table_id, field_name, field_type, description)
        SELECT table_id, 'source_type','VARCHAR(50)', 'Loại nguồn (news, social_media, forum)' FROM system_parameters.business_tables WHERE table_name='news_source' ;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25.0"/>
    <col customWidth="1" min="3" max="3" width="11.63"/>
    <col customWidth="1" min="4" max="4" width="12.88"/>
    <col customWidth="1" min="5" max="5" width="56.13"/>
  </cols>
  <sheetData>
    <row r="1">
      <c r="A1" s="11" t="s">
        <v>0</v>
      </c>
      <c r="B1" s="11" t="s">
        <v>45</v>
      </c>
      <c r="C1" s="12" t="s">
        <v>46</v>
      </c>
      <c r="D1" s="12" t="s">
        <v>47</v>
      </c>
      <c r="E1" s="13" t="s">
        <v>48</v>
      </c>
    </row>
    <row r="2">
      <c r="A2" s="14"/>
      <c r="B2" s="15"/>
      <c r="C2" s="15"/>
      <c r="D2" s="15"/>
      <c r="E2" s="16" t="s">
        <v>246</v>
      </c>
    </row>
    <row r="3">
      <c r="A3" s="14">
        <v>1.0</v>
      </c>
      <c r="B3" s="15" t="s">
        <v>247</v>
      </c>
      <c r="C3" s="15" t="s">
        <v>248</v>
      </c>
      <c r="D3" s="15" t="s">
        <v>51</v>
      </c>
      <c r="E3" s="16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table_name='news_article' ;")</f>
        <v>INSERT INTO system_parameters.business_fields(
        table_id, field_name, field_type, description, is_primary_key)
        SELECT table_id, 'article_id','SERIAL', 'ID bài viết', true FROM system_parameters.business_tables WHERE table_name='news_article' ;</v>
      </c>
    </row>
    <row r="4">
      <c r="A4" s="14">
        <f t="shared" ref="A4:A10" si="1">A3+1</f>
        <v>2</v>
      </c>
      <c r="B4" s="15" t="s">
        <v>249</v>
      </c>
      <c r="C4" s="15" t="s">
        <v>250</v>
      </c>
      <c r="D4" s="15" t="s">
        <v>119</v>
      </c>
      <c r="E4" s="10" t="str">
        <f>CONCATENATE("INSERT INTO system_parameters.business_fields(
        table_id, field_name, field_type, description)
        SELECT table_id, '",SUBSTITUTE(C4, " ", "_"),"','",D4,"', '",B4,"' FROM system_parameters.business_tables WHERE table_name='news_article' ;")</f>
        <v>INSERT INTO system_parameters.business_fields(
        table_id, field_name, field_type, description)
        SELECT table_id, 'publish_date','TIMESTAMP', 'Thời gian bài viết được xuất bản' FROM system_parameters.business_tables WHERE table_name='news_article' ;</v>
      </c>
    </row>
    <row r="5">
      <c r="A5" s="14">
        <f t="shared" si="1"/>
        <v>3</v>
      </c>
      <c r="B5" s="15" t="s">
        <v>242</v>
      </c>
      <c r="C5" s="15" t="s">
        <v>241</v>
      </c>
      <c r="D5" s="15" t="s">
        <v>51</v>
      </c>
      <c r="E5" s="10" t="str">
        <f>CONCATENATE("INSERT INTO system_parameters.business_fields(
        table_id, field_name, field_type, description, is_foreign_key, referenced_table_id, referenced_field_id)
        SELECT a.table_id, '",SUBSTITUTE(C5, " ", "_"),"','",D5,"', '",B5,"', true, b.table_id, c.field_id FROM system_parameters.business_tables a, system_parameters.business_tables b, system_parameters.business_fields c WHERE a.table_name='news_article' and b.table_name='news_source' and b.table_id=c.table_id and c.is_primary_"&amp;"key=true;")</f>
        <v>INSERT INTO system_parameters.business_fields(
        table_id, field_name, field_type, description, is_foreign_key, referenced_table_id, referenced_field_id)
        SELECT a.table_id, 'source_id','SERIAL', 'Tên nguồn tin', true, b.table_id, c.field_id FROM system_parameters.business_tables a, system_parameters.business_tables b, system_parameters.business_fields c WHERE a.table_name='news_article' and b.table_name='news_source' and b.table_id=c.table_id and c.is_primary_key=true;</v>
      </c>
    </row>
    <row r="6">
      <c r="A6" s="14">
        <f t="shared" si="1"/>
        <v>4</v>
      </c>
      <c r="B6" s="15" t="s">
        <v>238</v>
      </c>
      <c r="C6" s="15" t="s">
        <v>67</v>
      </c>
      <c r="D6" s="15" t="s">
        <v>51</v>
      </c>
      <c r="E6" s="10" t="str">
        <f>CONCATENATE("INSERT INTO system_parameters.business_fields(
        table_id, field_name, field_type, description, is_foreign_key, referenced_table_id, referenced_field_id)
        SELECT a.table_id, '",SUBSTITUTE(C6, " ", "_"),"','",D6,"', '",B6,"', true, b.table_id, c.field_id FROM system_parameters.business_tables a, system_parameters.business_tables b, system_parameters.business_fields c WHERE a.table_name='news_article' and b.table_name='stock' and b.table_id=c.table_id and c.is_primary_key=tr"&amp;"ue;")</f>
        <v>INSERT INTO system_parameters.business_fields(
        table_id, field_name, field_type, description, is_foreign_key, referenced_table_id, referenced_field_id)
        SELECT a.table_id, 'stock_id','SERIAL', 'Tên chứng khoán', true, b.table_id, c.field_id FROM system_parameters.business_tables a, system_parameters.business_tables b, system_parameters.business_fields c WHERE a.table_name='news_article' and b.table_name='stock' and b.table_id=c.table_id and c.is_primary_key=true;</v>
      </c>
    </row>
    <row r="7">
      <c r="A7" s="14">
        <f t="shared" si="1"/>
        <v>5</v>
      </c>
      <c r="B7" s="15" t="s">
        <v>251</v>
      </c>
      <c r="C7" s="15" t="s">
        <v>252</v>
      </c>
      <c r="D7" s="15" t="s">
        <v>253</v>
      </c>
      <c r="E7" s="10" t="str">
        <f t="shared" ref="E7:E9" si="2">CONCATENATE("INSERT INTO system_parameters.business_fields(
        table_id, field_name, field_type, description)
        SELECT table_id, '",SUBSTITUTE(C7, " ", "_"),"','",D7,"', '",B7,"' FROM system_parameters.business_tables WHERE table_name='news_article' ;")</f>
        <v>INSERT INTO system_parameters.business_fields(
        table_id, field_name, field_type, description)
        SELECT table_id, 'title','VARCHAR(500)', 'Tiêu đề bài viết' FROM system_parameters.business_tables WHERE table_name='news_article' ;</v>
      </c>
    </row>
    <row r="8">
      <c r="A8" s="14">
        <f t="shared" si="1"/>
        <v>6</v>
      </c>
      <c r="B8" s="15" t="s">
        <v>254</v>
      </c>
      <c r="C8" s="15" t="s">
        <v>255</v>
      </c>
      <c r="D8" s="15" t="s">
        <v>89</v>
      </c>
      <c r="E8" s="10" t="str">
        <f t="shared" si="2"/>
        <v>INSERT INTO system_parameters.business_fields(
        table_id, field_name, field_type, description)
        SELECT table_id, 'content','TEXT', 'Tóm tắt nội dung bài viết' FROM system_parameters.business_tables WHERE table_name='news_article' ;</v>
      </c>
    </row>
    <row r="9">
      <c r="A9" s="14">
        <f t="shared" si="1"/>
        <v>7</v>
      </c>
      <c r="B9" s="6" t="s">
        <v>256</v>
      </c>
      <c r="C9" s="6" t="s">
        <v>257</v>
      </c>
      <c r="D9" s="27" t="s">
        <v>258</v>
      </c>
      <c r="E9" s="10" t="str">
        <f t="shared" si="2"/>
        <v>INSERT INTO system_parameters.business_fields(
        table_id, field_name, field_type, description)
        SELECT table_id, 'file_data','BYTEA', 'Tệp tin ' FROM system_parameters.business_tables WHERE table_name='news_article' ;</v>
      </c>
    </row>
    <row r="10">
      <c r="A10" s="14">
        <f t="shared" si="1"/>
        <v>8</v>
      </c>
      <c r="B10" s="15" t="s">
        <v>176</v>
      </c>
      <c r="C10" s="15" t="s">
        <v>83</v>
      </c>
      <c r="D10" s="15" t="s">
        <v>51</v>
      </c>
      <c r="E10" s="10" t="str">
        <f>CONCATENATE("INSERT INTO system_parameters.business_fields(
        table_id, field_name, field_type, description, is_foreign_key, referenced_table_id, referenced_field_id)
        SELECT a.table_id, '",SUBSTITUTE(C10, " ", "_"),"','",D10,"', '",B10,"', true, b.table_id, c.field_id FROM system_parameters.business_tables a, system_parameters.business_tables b, system_parameters.business_fields c WHERE a.table_name='news_article' and b.table_name='user' and b.table_id=c.table_id and c.is_primary_key=tru"&amp;"e;")</f>
        <v>INSERT INTO system_parameters.business_fields(
        table_id, field_name, field_type, description, is_foreign_key, referenced_table_id, referenced_field_id)
        SELECT a.table_id, 'user_id','SERIAL', 'Tên Leader', true, b.table_id, c.field_id FROM system_parameters.business_tables a, system_parameters.business_tables b, system_parameters.business_fields c WHERE a.table_name='news_article' and b.table_name='user' and b.table_id=c.table_id and c.is_primary_key=true;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25.13"/>
    <col customWidth="1" min="3" max="3" width="17.75"/>
    <col customWidth="1" min="4" max="4" width="24.0"/>
    <col customWidth="1" min="5" max="5" width="53.38"/>
  </cols>
  <sheetData>
    <row r="1">
      <c r="A1" s="11" t="s">
        <v>0</v>
      </c>
      <c r="B1" s="11" t="s">
        <v>45</v>
      </c>
      <c r="C1" s="12" t="s">
        <v>46</v>
      </c>
      <c r="D1" s="12" t="s">
        <v>47</v>
      </c>
      <c r="E1" s="13" t="s">
        <v>48</v>
      </c>
    </row>
    <row r="2">
      <c r="A2" s="14"/>
      <c r="B2" s="15"/>
      <c r="C2" s="15"/>
      <c r="D2" s="15"/>
      <c r="E2" s="16" t="s">
        <v>259</v>
      </c>
    </row>
    <row r="3">
      <c r="A3" s="14">
        <v>1.0</v>
      </c>
      <c r="B3" s="15" t="s">
        <v>260</v>
      </c>
      <c r="C3" s="15" t="s">
        <v>261</v>
      </c>
      <c r="D3" s="15" t="s">
        <v>51</v>
      </c>
      <c r="E3" s="16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table_name='follower_query' ;")</f>
        <v>INSERT INTO system_parameters.business_fields(
        table_id, field_name, field_type, description, is_primary_key)
        SELECT table_id, 'query_id','SERIAL', 'ID của truy vấn', true FROM system_parameters.business_tables WHERE table_name='follower_query' ;</v>
      </c>
    </row>
    <row r="4">
      <c r="A4" s="14">
        <f t="shared" ref="A4:A8" si="1">A3+1</f>
        <v>2</v>
      </c>
      <c r="B4" s="15" t="s">
        <v>262</v>
      </c>
      <c r="C4" s="15" t="s">
        <v>263</v>
      </c>
      <c r="D4" s="15" t="s">
        <v>264</v>
      </c>
      <c r="E4" s="10" t="str">
        <f>CONCATENATE("INSERT INTO system_parameters.business_fields(
        table_id, field_name, field_type, description)
        SELECT table_id, '",SUBSTITUTE(C4, " ", "_"),"','",D4,"', '",B4,"' FROM system_parameters.business_tables WHERE table_name='follower_query' ;")</f>
        <v>INSERT INTO system_parameters.business_fields(
        table_id, field_name, field_type, description)
        SELECT table_id, 'query_content','TEXT NOT NULL', 'Nội dung truy vấn (query string)' FROM system_parameters.business_tables WHERE table_name='follower_query' ;</v>
      </c>
    </row>
    <row r="5">
      <c r="A5" s="14">
        <f t="shared" si="1"/>
        <v>3</v>
      </c>
      <c r="B5" s="6" t="s">
        <v>265</v>
      </c>
      <c r="C5" s="6" t="s">
        <v>181</v>
      </c>
      <c r="D5" s="15" t="s">
        <v>51</v>
      </c>
      <c r="E5" s="10" t="str">
        <f>CONCATENATE("INSERT INTO system_parameters.business_fields(
        table_id, field_name, field_type, description, is_foreign_key, referenced_table_id, referenced_field_id)
        SELECT a.table_id, '",SUBSTITUTE(C5, " ", "_"),"','",D5,"', '",B5,"', true, b.table_id, c.field_id FROM system_parameters.business_tables a, system_parameters.business_tables b, system_parameters.business_fields c WHERE a.table_name='follower_query' and b.table_name='subscription' and b.table_id=c.table_id and c.is_prima"&amp;"ry_key=true;")</f>
        <v>INSERT INTO system_parameters.business_fields(
        table_id, field_name, field_type, description, is_foreign_key, referenced_table_id, referenced_field_id)
        SELECT a.table_id, 'subscription_id','SERIAL', 'Tên gói dịch vụ', true, b.table_id, c.field_id FROM system_parameters.business_tables a, system_parameters.business_tables b, system_parameters.business_fields c WHERE a.table_name='follower_query' and b.table_name='subscription' and b.table_id=c.table_id and c.is_primary_key=true;</v>
      </c>
    </row>
    <row r="6">
      <c r="A6" s="14">
        <f t="shared" si="1"/>
        <v>4</v>
      </c>
      <c r="B6" s="15" t="s">
        <v>266</v>
      </c>
      <c r="C6" s="15" t="s">
        <v>267</v>
      </c>
      <c r="D6" s="15" t="s">
        <v>268</v>
      </c>
      <c r="E6" s="10" t="str">
        <f t="shared" ref="E6:E8" si="2">CONCATENATE("INSERT INTO system_parameters.business_fields(
        table_id, field_name, field_type, description)
        SELECT table_id, '",SUBSTITUTE(C6, " ", "_"),"','",D6,"', '",B6,"' FROM system_parameters.business_tables WHERE table_name='follower_query' ;")</f>
        <v>INSERT INTO system_parameters.business_fields(
        table_id, field_name, field_type, description)
        SELECT table_id, 'record_count','INT NOT NULL', 'Số lượng bản ghi truy xuất được' FROM system_parameters.business_tables WHERE table_name='follower_query' ;</v>
      </c>
    </row>
    <row r="7">
      <c r="A7" s="14">
        <f t="shared" si="1"/>
        <v>5</v>
      </c>
      <c r="B7" s="15" t="s">
        <v>269</v>
      </c>
      <c r="C7" s="15" t="s">
        <v>270</v>
      </c>
      <c r="D7" s="15" t="s">
        <v>94</v>
      </c>
      <c r="E7" s="10" t="str">
        <f t="shared" si="2"/>
        <v>INSERT INTO system_parameters.business_fields(
        table_id, field_name, field_type, description)
        SELECT table_id, 'query_fee','NUMERIC(15, 2)', 'Phí truy vấn (VNĐ)' FROM system_parameters.business_tables WHERE table_name='follower_query' ;</v>
      </c>
    </row>
    <row r="8">
      <c r="A8" s="14">
        <f t="shared" si="1"/>
        <v>6</v>
      </c>
      <c r="B8" s="15" t="s">
        <v>271</v>
      </c>
      <c r="C8" s="15" t="s">
        <v>272</v>
      </c>
      <c r="D8" s="15" t="s">
        <v>175</v>
      </c>
      <c r="E8" s="10" t="str">
        <f t="shared" si="2"/>
        <v>INSERT INTO system_parameters.business_fields(
        table_id, field_name, field_type, description)
        SELECT table_id, 'executed_at','TIMESTAMP DEFAULT NOW()', 'Thời gian truy vấn' FROM system_parameters.business_tables WHERE table_name='follower_query' ;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50.13"/>
    <col customWidth="1" min="3" max="3" width="16.88"/>
    <col customWidth="1" min="4" max="4" width="13.38"/>
    <col customWidth="1" min="5" max="5" width="62.38"/>
  </cols>
  <sheetData>
    <row r="1">
      <c r="A1" s="11" t="s">
        <v>0</v>
      </c>
      <c r="B1" s="11" t="s">
        <v>45</v>
      </c>
      <c r="C1" s="12" t="s">
        <v>46</v>
      </c>
      <c r="D1" s="12" t="s">
        <v>47</v>
      </c>
      <c r="E1" s="13" t="s">
        <v>48</v>
      </c>
    </row>
    <row r="2">
      <c r="A2" s="14"/>
      <c r="B2" s="15"/>
      <c r="C2" s="15"/>
      <c r="D2" s="15"/>
      <c r="E2" s="16" t="s">
        <v>273</v>
      </c>
    </row>
    <row r="3">
      <c r="A3" s="14">
        <v>1.0</v>
      </c>
      <c r="B3" s="15" t="s">
        <v>274</v>
      </c>
      <c r="C3" s="15" t="s">
        <v>275</v>
      </c>
      <c r="D3" s="15" t="s">
        <v>51</v>
      </c>
      <c r="E3" s="16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table_name='afl' ;")</f>
        <v>INSERT INTO system_parameters.business_fields(
        table_id, field_name, field_type, description, is_primary_key)
        SELECT table_id, 'afl_id','SERIAL', 'ID tự tăng định danh từng mã AFL.', true FROM system_parameters.business_tables WHERE table_name='afl' ;</v>
      </c>
    </row>
    <row r="4">
      <c r="A4" s="14">
        <f t="shared" ref="A4:A13" si="1">A3+1</f>
        <v>2</v>
      </c>
      <c r="B4" s="15" t="s">
        <v>276</v>
      </c>
      <c r="C4" s="15" t="s">
        <v>277</v>
      </c>
      <c r="D4" s="15" t="s">
        <v>54</v>
      </c>
      <c r="E4" s="10" t="str">
        <f>CONCATENATE("INSERT INTO system_parameters.business_fields(
        table_id, field_name, field_type, description)
        SELECT table_id, '",SUBSTITUTE(C4, " ", "_"),"','",D4,"', '",B4,"' FROM system_parameters.business_tables WHERE table_name='afl' ;")</f>
        <v>INSERT INTO system_parameters.business_fields(
        table_id, field_name, field_type, description)
        SELECT table_id, 'afl_name','VARCHAR(255)', 'Tên của mã AFL (ví dụ: Moving Average Crossover, RSI Strategy).' FROM system_parameters.business_tables WHERE table_name='afl' ;</v>
      </c>
    </row>
    <row r="5">
      <c r="A5" s="14">
        <f t="shared" si="1"/>
        <v>3</v>
      </c>
      <c r="B5" s="15" t="s">
        <v>176</v>
      </c>
      <c r="C5" s="15" t="s">
        <v>83</v>
      </c>
      <c r="D5" s="15" t="s">
        <v>51</v>
      </c>
      <c r="E5" s="10" t="str">
        <f>CONCATENATE("INSERT INTO system_parameters.business_fields(
        table_id, field_name, field_type, description, is_foreign_key, referenced_table_id, referenced_field_id)
        SELECT a.table_id, '",SUBSTITUTE(C5, " ", "_"),"','",D5,"', '",B5,"', true, b.table_id, c.field_id FROM system_parameters.business_tables a, system_parameters.business_tables b, system_parameters.business_fields c WHERE a.table_name='afl' and b.table_name='user' and b.table_id=c.table_id and c.is_primary_key=true;")</f>
        <v>INSERT INTO system_parameters.business_fields(
        table_id, field_name, field_type, description, is_foreign_key, referenced_table_id, referenced_field_id)
        SELECT a.table_id, 'user_id','SERIAL', 'Tên Leader', true, b.table_id, c.field_id FROM system_parameters.business_tables a, system_parameters.business_tables b, system_parameters.business_fields c WHERE a.table_name='afl' and b.table_name='user' and b.table_id=c.table_id and c.is_primary_key=true;</v>
      </c>
    </row>
    <row r="6">
      <c r="A6" s="14">
        <f t="shared" si="1"/>
        <v>4</v>
      </c>
      <c r="B6" s="15" t="s">
        <v>278</v>
      </c>
      <c r="C6" s="15" t="s">
        <v>157</v>
      </c>
      <c r="D6" s="15" t="s">
        <v>89</v>
      </c>
      <c r="E6" s="10" t="str">
        <f t="shared" ref="E6:E13" si="2">CONCATENATE("INSERT INTO system_parameters.business_fields(
        table_id, field_name, field_type, description)
        SELECT table_id, '",SUBSTITUTE(C6, " ", "_"),"','",D6,"', '",B6,"' FROM system_parameters.business_tables WHERE table_name='afl' ;")</f>
        <v>INSERT INTO system_parameters.business_fields(
        table_id, field_name, field_type, description)
        SELECT table_id, 'description','TEXT', 'Mô tả chi tiết về mục đích và cách hoạt động của mã AFL.' FROM system_parameters.business_tables WHERE table_name='afl' ;</v>
      </c>
    </row>
    <row r="7">
      <c r="A7" s="14">
        <f t="shared" si="1"/>
        <v>5</v>
      </c>
      <c r="B7" s="15" t="s">
        <v>279</v>
      </c>
      <c r="C7" s="15" t="s">
        <v>280</v>
      </c>
      <c r="D7" s="15" t="s">
        <v>75</v>
      </c>
      <c r="E7" s="10" t="str">
        <f t="shared" si="2"/>
        <v>INSERT INTO system_parameters.business_fields(
        table_id, field_name, field_type, description)
        SELECT table_id, 'created_date','DATE', 'Ngày viết hoặc hoàn thiện mã AFL.' FROM system_parameters.business_tables WHERE table_name='afl' ;</v>
      </c>
    </row>
    <row r="8">
      <c r="A8" s="14">
        <f t="shared" si="1"/>
        <v>6</v>
      </c>
      <c r="B8" s="15" t="s">
        <v>281</v>
      </c>
      <c r="C8" s="15" t="s">
        <v>282</v>
      </c>
      <c r="D8" s="15" t="s">
        <v>81</v>
      </c>
      <c r="E8" s="10" t="str">
        <f t="shared" si="2"/>
        <v>INSERT INTO system_parameters.business_fields(
        table_id, field_name, field_type, description)
        SELECT table_id, 'version','VARCHAR(50)', 'Phiên bản của mã AFL (nếu có).' FROM system_parameters.business_tables WHERE table_name='afl' ;</v>
      </c>
    </row>
    <row r="9">
      <c r="A9" s="14">
        <f t="shared" si="1"/>
        <v>7</v>
      </c>
      <c r="B9" s="15" t="s">
        <v>283</v>
      </c>
      <c r="C9" s="15" t="s">
        <v>284</v>
      </c>
      <c r="D9" s="15" t="s">
        <v>81</v>
      </c>
      <c r="E9" s="10" t="str">
        <f t="shared" si="2"/>
        <v>INSERT INTO system_parameters.business_fields(
        table_id, field_name, field_type, description)
        SELECT table_id, 'afl_type','VARCHAR(50)', 'Loại mã AFL (ví dụ: Indicator, Backtest Strategy, Exploration).' FROM system_parameters.business_tables WHERE table_name='afl' ;</v>
      </c>
    </row>
    <row r="10">
      <c r="A10" s="14">
        <f t="shared" si="1"/>
        <v>8</v>
      </c>
      <c r="B10" s="15" t="s">
        <v>285</v>
      </c>
      <c r="C10" s="15" t="s">
        <v>286</v>
      </c>
      <c r="D10" s="15" t="s">
        <v>89</v>
      </c>
      <c r="E10" s="10" t="str">
        <f t="shared" si="2"/>
        <v>INSERT INTO system_parameters.business_fields(
        table_id, field_name, field_type, description)
        SELECT table_id, 'afl_code','TEXT', 'Toàn bộ nội dung của mã AFL (dưới dạng text).' FROM system_parameters.business_tables WHERE table_name='afl' ;</v>
      </c>
    </row>
    <row r="11">
      <c r="A11" s="14">
        <f t="shared" si="1"/>
        <v>9</v>
      </c>
      <c r="B11" s="15" t="s">
        <v>287</v>
      </c>
      <c r="C11" s="15" t="s">
        <v>288</v>
      </c>
      <c r="D11" s="15" t="s">
        <v>89</v>
      </c>
      <c r="E11" s="10" t="str">
        <f t="shared" si="2"/>
        <v>INSERT INTO system_parameters.business_fields(
        table_id, field_name, field_type, description)
        SELECT table_id, 'special_requirements','TEXT', 'Các yêu cầu đặc biệt (ví dụ: dữ liệu cụ thể, plugin).' FROM system_parameters.business_tables WHERE table_name='afl' ;</v>
      </c>
    </row>
    <row r="12">
      <c r="A12" s="14">
        <f t="shared" si="1"/>
        <v>10</v>
      </c>
      <c r="B12" s="15" t="s">
        <v>289</v>
      </c>
      <c r="C12" s="15" t="s">
        <v>105</v>
      </c>
      <c r="D12" s="15" t="s">
        <v>81</v>
      </c>
      <c r="E12" s="10" t="str">
        <f t="shared" si="2"/>
        <v>INSERT INTO system_parameters.business_fields(
        table_id, field_name, field_type, description)
        SELECT table_id, 'status','VARCHAR(50)', 'Trạng thái của mã AFL (ví dụ: "Active", "Deprecated").' FROM system_parameters.business_tables WHERE table_name='afl' ;</v>
      </c>
    </row>
    <row r="13">
      <c r="A13" s="14">
        <f t="shared" si="1"/>
        <v>11</v>
      </c>
      <c r="B13" s="15" t="s">
        <v>290</v>
      </c>
      <c r="C13" s="15" t="s">
        <v>291</v>
      </c>
      <c r="D13" s="15" t="s">
        <v>89</v>
      </c>
      <c r="E13" s="10" t="str">
        <f t="shared" si="2"/>
        <v>INSERT INTO system_parameters.business_fields(
        table_id, field_name, field_type, description)
        SELECT table_id, 'notes','TEXT', 'Ghi chú bổ sung về mã AFL (nếu có).' FROM system_parameters.business_tables WHERE table_name='afl' ;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2" width="38.0"/>
    <col customWidth="1" min="3" max="3" width="17.63"/>
    <col customWidth="1" min="4" max="4" width="13.63"/>
    <col customWidth="1" min="5" max="5" width="52.63"/>
  </cols>
  <sheetData>
    <row r="1">
      <c r="A1" s="11" t="s">
        <v>0</v>
      </c>
      <c r="B1" s="11" t="s">
        <v>45</v>
      </c>
      <c r="C1" s="12" t="s">
        <v>46</v>
      </c>
      <c r="D1" s="12" t="s">
        <v>47</v>
      </c>
      <c r="E1" s="13" t="s">
        <v>48</v>
      </c>
    </row>
    <row r="2">
      <c r="A2" s="14"/>
      <c r="B2" s="15"/>
      <c r="C2" s="15"/>
      <c r="D2" s="15"/>
      <c r="E2" s="16" t="s">
        <v>292</v>
      </c>
    </row>
    <row r="3">
      <c r="A3" s="14">
        <v>1.0</v>
      </c>
      <c r="B3" s="6" t="s">
        <v>293</v>
      </c>
      <c r="C3" s="6" t="s">
        <v>293</v>
      </c>
      <c r="D3" s="15" t="s">
        <v>51</v>
      </c>
      <c r="E3" s="16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table_name='trade_setting' ;")</f>
        <v>INSERT INTO system_parameters.business_fields(
        table_id, field_name, field_type, description, is_primary_key)
        SELECT table_id, 'trade_setting_id','SERIAL', 'trade_setting_id', true FROM system_parameters.business_tables WHERE table_name='trade_setting' ;</v>
      </c>
    </row>
    <row r="4">
      <c r="A4" s="14">
        <f t="shared" ref="A4:A43" si="1">A3+1</f>
        <v>2</v>
      </c>
      <c r="B4" s="6" t="s">
        <v>294</v>
      </c>
      <c r="C4" s="6" t="s">
        <v>295</v>
      </c>
      <c r="D4" s="6" t="s">
        <v>94</v>
      </c>
      <c r="E4" s="10" t="str">
        <f>CONCATENATE("INSERT INTO system_parameters.business_fields(
        table_id, field_name, field_type, description)
        SELECT table_id, '",SUBSTITUTE(C4, " ", "_"),"','",D4,"', '",B4,"' FROM system_parameters.business_tables WHERE table_name='trade_setting' ;")</f>
        <v>INSERT INTO system_parameters.business_fields(
        table_id, field_name, field_type, description)
        SELECT table_id, 'initial_equity','NUMERIC(15, 2)', 'Vốn ban đầu' FROM system_parameters.business_tables WHERE table_name='trade_setting' ;</v>
      </c>
    </row>
    <row r="5">
      <c r="A5" s="14">
        <f t="shared" si="1"/>
        <v>3</v>
      </c>
      <c r="B5" s="15" t="s">
        <v>296</v>
      </c>
      <c r="C5" s="15" t="s">
        <v>275</v>
      </c>
      <c r="D5" s="15" t="s">
        <v>51</v>
      </c>
      <c r="E5" s="10" t="str">
        <f>CONCATENATE("INSERT INTO system_parameters.business_fields(
        table_id, field_name, field_type, description, is_foreign_key, referenced_table_id, referenced_field_id)
        SELECT a.table_id, '",SUBSTITUTE(C5, " ", "_"),"','",D5,"', '",B5,"', true, b.table_id, c.field_id FROM system_parameters.business_tables a, system_parameters.business_tables b, system_parameters.business_fields c WHERE a.table_name='trade_setting' and b.table_name='afl' and b.table_id=c.table_id and c.is_primary_key=tru"&amp;"e;")</f>
        <v>INSERT INTO system_parameters.business_fields(
        table_id, field_name, field_type, description, is_foreign_key, referenced_table_id, referenced_field_id)
        SELECT a.table_id, 'afl_id','SERIAL', 'Tên thuật toán', true, b.table_id, c.field_id FROM system_parameters.business_tables a, system_parameters.business_tables b, system_parameters.business_fields c WHERE a.table_name='trade_setting' and b.table_name='afl' and b.table_id=c.table_id and c.is_primary_key=true;</v>
      </c>
    </row>
    <row r="6">
      <c r="A6" s="14">
        <f t="shared" si="1"/>
        <v>4</v>
      </c>
      <c r="B6" s="6" t="s">
        <v>297</v>
      </c>
      <c r="C6" s="6" t="s">
        <v>298</v>
      </c>
      <c r="D6" s="6" t="s">
        <v>81</v>
      </c>
      <c r="E6" s="10" t="str">
        <f t="shared" ref="E6:E43" si="2">CONCATENATE("INSERT INTO system_parameters.business_fields(
        table_id, field_name, field_type, description)
        SELECT table_id, '",SUBSTITUTE(C6, " ", "_"),"','",D6,"', '",B6,"' FROM system_parameters.business_tables WHERE table_name='trade_setting' ;")</f>
        <v>INSERT INTO system_parameters.business_fields(
        table_id, field_name, field_type, description)
        SELECT table_id, 'periodicity_positions','VARCHAR(50)', 'Tần suất/Loại giao dịch (Hàng ngày/Giao dịch dài)' FROM system_parameters.business_tables WHERE table_name='trade_setting' ;</v>
      </c>
    </row>
    <row r="7">
      <c r="A7" s="14">
        <f t="shared" si="1"/>
        <v>5</v>
      </c>
      <c r="B7" s="6" t="s">
        <v>299</v>
      </c>
      <c r="C7" s="6" t="s">
        <v>300</v>
      </c>
      <c r="D7" s="6" t="s">
        <v>227</v>
      </c>
      <c r="E7" s="10" t="str">
        <f t="shared" si="2"/>
        <v>INSERT INTO system_parameters.business_fields(
        table_id, field_name, field_type, description)
        SELECT table_id, 'commissions','NUMERIC(5, 2)', 'Phí giao dịch' FROM system_parameters.business_tables WHERE table_name='trade_setting' ;</v>
      </c>
    </row>
    <row r="8">
      <c r="A8" s="14">
        <f t="shared" si="1"/>
        <v>6</v>
      </c>
      <c r="B8" s="6" t="s">
        <v>301</v>
      </c>
      <c r="C8" s="6" t="s">
        <v>302</v>
      </c>
      <c r="D8" s="6" t="s">
        <v>227</v>
      </c>
      <c r="E8" s="10" t="str">
        <f t="shared" si="2"/>
        <v>INSERT INTO system_parameters.business_fields(
        table_id, field_name, field_type, description)
        SELECT table_id, 'annual_interest_rate','NUMERIC(5, 2)', 'Lãi suất hàng năm' FROM system_parameters.business_tables WHERE table_name='trade_setting' ;</v>
      </c>
    </row>
    <row r="9">
      <c r="A9" s="14">
        <f t="shared" si="1"/>
        <v>7</v>
      </c>
      <c r="B9" s="6" t="s">
        <v>303</v>
      </c>
      <c r="C9" s="6" t="s">
        <v>304</v>
      </c>
      <c r="D9" s="6" t="s">
        <v>81</v>
      </c>
      <c r="E9" s="10" t="str">
        <f t="shared" si="2"/>
        <v>INSERT INTO system_parameters.business_fields(
        table_id, field_name, field_type, description)
        SELECT table_id, 'range','VARCHAR(50)', 'Khoảng thời gian' FROM system_parameters.business_tables WHERE table_name='trade_setting' ;</v>
      </c>
    </row>
    <row r="10">
      <c r="A10" s="14">
        <f t="shared" si="1"/>
        <v>8</v>
      </c>
      <c r="B10" s="6" t="s">
        <v>305</v>
      </c>
      <c r="C10" s="6" t="s">
        <v>306</v>
      </c>
      <c r="D10" s="6" t="s">
        <v>81</v>
      </c>
      <c r="E10" s="10" t="str">
        <f t="shared" si="2"/>
        <v>INSERT INTO system_parameters.business_fields(
        table_id, field_name, field_type, description)
        SELECT table_id, 'apply_to_filter','VARCHAR(50)', 'Áp dụng bộ lọc' FROM system_parameters.business_tables WHERE table_name='trade_setting' ;</v>
      </c>
    </row>
    <row r="11">
      <c r="A11" s="14">
        <f t="shared" si="1"/>
        <v>9</v>
      </c>
      <c r="B11" s="6" t="s">
        <v>307</v>
      </c>
      <c r="C11" s="6" t="s">
        <v>308</v>
      </c>
      <c r="D11" s="6" t="s">
        <v>54</v>
      </c>
      <c r="E11" s="10" t="str">
        <f t="shared" si="2"/>
        <v>INSERT INTO system_parameters.business_fields(
        table_id, field_name, field_type, description)
        SELECT table_id, 'include_filter','VARCHAR(255)', 'Bộ lọc bao gồm (Include Filter)' FROM system_parameters.business_tables WHERE table_name='trade_setting' ;</v>
      </c>
    </row>
    <row r="12">
      <c r="A12" s="14">
        <f t="shared" si="1"/>
        <v>10</v>
      </c>
      <c r="B12" s="6" t="s">
        <v>309</v>
      </c>
      <c r="C12" s="6" t="s">
        <v>310</v>
      </c>
      <c r="D12" s="6" t="s">
        <v>54</v>
      </c>
      <c r="E12" s="10" t="str">
        <f t="shared" si="2"/>
        <v>INSERT INTO system_parameters.business_fields(
        table_id, field_name, field_type, description)
        SELECT table_id, 'exclude_filter','VARCHAR(255)', 'Bộ lọc loại trừ (Exclude Filter)' FROM system_parameters.business_tables WHERE table_name='trade_setting' ;</v>
      </c>
    </row>
    <row r="13">
      <c r="A13" s="14">
        <f t="shared" si="1"/>
        <v>11</v>
      </c>
      <c r="B13" s="6" t="s">
        <v>311</v>
      </c>
      <c r="C13" s="6" t="s">
        <v>312</v>
      </c>
      <c r="D13" s="6" t="s">
        <v>54</v>
      </c>
      <c r="E13" s="10" t="str">
        <f t="shared" si="2"/>
        <v>INSERT INTO system_parameters.business_fields(
        table_id, field_name, field_type, description)
        SELECT table_id, 'group_stock','VARCHAR(255)', 'Nhóm cổ phiếu' FROM system_parameters.business_tables WHERE table_name='trade_setting' ;</v>
      </c>
    </row>
    <row r="14">
      <c r="A14" s="14">
        <f t="shared" si="1"/>
        <v>12</v>
      </c>
      <c r="B14" s="6" t="s">
        <v>313</v>
      </c>
      <c r="C14" s="6" t="s">
        <v>4</v>
      </c>
      <c r="D14" s="6" t="s">
        <v>54</v>
      </c>
      <c r="E14" s="10" t="str">
        <f t="shared" si="2"/>
        <v>INSERT INTO system_parameters.business_fields(
        table_id, field_name, field_type, description)
        SELECT table_id, 'sector','VARCHAR(255)', 'Lĩnh vực (Sector)' FROM system_parameters.business_tables WHERE table_name='trade_setting' ;</v>
      </c>
    </row>
    <row r="15">
      <c r="A15" s="14">
        <f t="shared" si="1"/>
        <v>13</v>
      </c>
      <c r="B15" s="6" t="s">
        <v>314</v>
      </c>
      <c r="C15" s="6" t="s">
        <v>6</v>
      </c>
      <c r="D15" s="6" t="s">
        <v>54</v>
      </c>
      <c r="E15" s="10" t="str">
        <f t="shared" si="2"/>
        <v>INSERT INTO system_parameters.business_fields(
        table_id, field_name, field_type, description)
        SELECT table_id, 'industry','VARCHAR(255)', 'Ngành (Industry)' FROM system_parameters.business_tables WHERE table_name='trade_setting' ;</v>
      </c>
    </row>
    <row r="16">
      <c r="A16" s="14">
        <f t="shared" si="1"/>
        <v>14</v>
      </c>
      <c r="B16" s="6" t="s">
        <v>315</v>
      </c>
      <c r="C16" s="6" t="s">
        <v>316</v>
      </c>
      <c r="D16" s="6" t="s">
        <v>54</v>
      </c>
      <c r="E16" s="10" t="str">
        <f t="shared" si="2"/>
        <v>INSERT INTO system_parameters.business_fields(
        table_id, field_name, field_type, description)
        SELECT table_id, 'watchlist','VARCHAR(255)', 'Danh sách theo dõi (Watchlist)' FROM system_parameters.business_tables WHERE table_name='trade_setting' ;</v>
      </c>
    </row>
    <row r="17">
      <c r="A17" s="14">
        <f t="shared" si="1"/>
        <v>15</v>
      </c>
      <c r="B17" s="6" t="s">
        <v>317</v>
      </c>
      <c r="C17" s="6" t="s">
        <v>318</v>
      </c>
      <c r="D17" s="6" t="s">
        <v>81</v>
      </c>
      <c r="E17" s="10" t="str">
        <f t="shared" si="2"/>
        <v>INSERT INTO system_parameters.business_fields(
        table_id, field_name, field_type, description)
        SELECT table_id, 'gics','VARCHAR(50)', 'Mã ngành theo GICS' FROM system_parameters.business_tables WHERE table_name='trade_setting' ;</v>
      </c>
    </row>
    <row r="18">
      <c r="A18" s="14">
        <f t="shared" si="1"/>
        <v>16</v>
      </c>
      <c r="B18" s="6" t="s">
        <v>319</v>
      </c>
      <c r="C18" s="6" t="s">
        <v>320</v>
      </c>
      <c r="D18" s="6" t="s">
        <v>81</v>
      </c>
      <c r="E18" s="10" t="str">
        <f t="shared" si="2"/>
        <v>INSERT INTO system_parameters.business_fields(
        table_id, field_name, field_type, description)
        SELECT table_id, 'icb','VARCHAR(50)', 'Mã ngành theo ICB' FROM system_parameters.business_tables WHERE table_name='trade_setting' ;</v>
      </c>
    </row>
    <row r="19">
      <c r="A19" s="14">
        <f t="shared" si="1"/>
        <v>17</v>
      </c>
      <c r="B19" s="6" t="s">
        <v>321</v>
      </c>
      <c r="C19" s="6" t="s">
        <v>322</v>
      </c>
      <c r="D19" s="6" t="s">
        <v>81</v>
      </c>
      <c r="E19" s="10" t="str">
        <f t="shared" si="2"/>
        <v>INSERT INTO system_parameters.business_fields(
        table_id, field_name, field_type, description)
        SELECT table_id, 'index','VARCHAR(50)', 'Chỉ số (Index)' FROM system_parameters.business_tables WHERE table_name='trade_setting' ;</v>
      </c>
    </row>
    <row r="20">
      <c r="A20" s="14">
        <f t="shared" si="1"/>
        <v>18</v>
      </c>
      <c r="B20" s="6" t="s">
        <v>323</v>
      </c>
      <c r="C20" s="6" t="s">
        <v>324</v>
      </c>
      <c r="D20" s="6" t="s">
        <v>325</v>
      </c>
      <c r="E20" s="10" t="str">
        <f t="shared" si="2"/>
        <v>INSERT INTO system_parameters.business_fields(
        table_id, field_name, field_type, description)
        SELECT table_id, 'favourite','BOOLEAN', 'Yêu thích (Favourite)' FROM system_parameters.business_tables WHERE table_name='trade_setting' ;</v>
      </c>
    </row>
    <row r="21">
      <c r="A21" s="14">
        <f t="shared" si="1"/>
        <v>19</v>
      </c>
      <c r="B21" s="6" t="s">
        <v>326</v>
      </c>
      <c r="C21" s="6" t="s">
        <v>327</v>
      </c>
      <c r="D21" s="6" t="s">
        <v>205</v>
      </c>
      <c r="E21" s="10" t="str">
        <f t="shared" si="2"/>
        <v>INSERT INTO system_parameters.business_fields(
        table_id, field_name, field_type, description)
        SELECT table_id, 'account_margin','NUMERIC(10, 2)', 'Hệ số đòn bẩy tài khoản' FROM system_parameters.business_tables WHERE table_name='trade_setting' ;</v>
      </c>
    </row>
    <row r="22">
      <c r="A22" s="14">
        <f t="shared" si="1"/>
        <v>20</v>
      </c>
      <c r="B22" s="6" t="s">
        <v>328</v>
      </c>
      <c r="C22" s="6" t="s">
        <v>329</v>
      </c>
      <c r="D22" s="6" t="s">
        <v>325</v>
      </c>
      <c r="E22" s="10" t="str">
        <f t="shared" si="2"/>
        <v>INSERT INTO system_parameters.business_fields(
        table_id, field_name, field_type, description)
        SELECT table_id, 'futures_mode','BOOLEAN', 'Chế độ hợp đồng tương lai (Futures mode)' FROM system_parameters.business_tables WHERE table_name='trade_setting' ;</v>
      </c>
    </row>
    <row r="23">
      <c r="A23" s="14">
        <f t="shared" si="1"/>
        <v>21</v>
      </c>
      <c r="B23" s="6" t="s">
        <v>330</v>
      </c>
      <c r="C23" s="6" t="s">
        <v>331</v>
      </c>
      <c r="D23" s="6" t="s">
        <v>106</v>
      </c>
      <c r="E23" s="10" t="str">
        <f t="shared" si="2"/>
        <v>INSERT INTO system_parameters.business_fields(
        table_id, field_name, field_type, description)
        SELECT table_id, 'def_round_lot_size','INT', 'Kích thước lô tròn mặc định' FROM system_parameters.business_tables WHERE table_name='trade_setting' ;</v>
      </c>
    </row>
    <row r="24">
      <c r="A24" s="14">
        <f t="shared" si="1"/>
        <v>22</v>
      </c>
      <c r="B24" s="6" t="s">
        <v>332</v>
      </c>
      <c r="C24" s="6" t="s">
        <v>333</v>
      </c>
      <c r="D24" s="6" t="s">
        <v>205</v>
      </c>
      <c r="E24" s="10" t="str">
        <f t="shared" si="2"/>
        <v>INSERT INTO system_parameters.business_fields(
        table_id, field_name, field_type, description)
        SELECT table_id, 'def_tick_size','NUMERIC(10, 2)', 'Kích thước điểm (Tick Size)' FROM system_parameters.business_tables WHERE table_name='trade_setting' ;</v>
      </c>
    </row>
    <row r="25">
      <c r="A25" s="14">
        <f t="shared" si="1"/>
        <v>23</v>
      </c>
      <c r="B25" s="6" t="s">
        <v>334</v>
      </c>
      <c r="C25" s="6" t="s">
        <v>335</v>
      </c>
      <c r="D25" s="6" t="s">
        <v>81</v>
      </c>
      <c r="E25" s="10" t="str">
        <f t="shared" si="2"/>
        <v>INSERT INTO system_parameters.business_fields(
        table_id, field_name, field_type, description)
        SELECT table_id, 'drawdowns_based_on','VARCHAR(50)', 'Tính toán giảm giá trị dựa trên: Giá cao/thấp' FROM system_parameters.business_tables WHERE table_name='trade_setting' ;</v>
      </c>
    </row>
    <row r="26">
      <c r="A26" s="14">
        <f t="shared" si="1"/>
        <v>24</v>
      </c>
      <c r="B26" s="6" t="s">
        <v>336</v>
      </c>
      <c r="C26" s="6" t="s">
        <v>337</v>
      </c>
      <c r="D26" s="6" t="s">
        <v>325</v>
      </c>
      <c r="E26" s="10" t="str">
        <f t="shared" si="2"/>
        <v>INSERT INTO system_parameters.business_fields(
        table_id, field_name, field_type, description)
        SELECT table_id, 'long_trades','BOOLEAN', 'Giao dịch dài (Long trades)' FROM system_parameters.business_tables WHERE table_name='trade_setting' ;</v>
      </c>
    </row>
    <row r="27">
      <c r="A27" s="14">
        <f t="shared" si="1"/>
        <v>25</v>
      </c>
      <c r="B27" s="6" t="s">
        <v>338</v>
      </c>
      <c r="C27" s="6" t="s">
        <v>339</v>
      </c>
      <c r="D27" s="6" t="s">
        <v>81</v>
      </c>
      <c r="E27" s="10" t="str">
        <f t="shared" si="2"/>
        <v>INSERT INTO system_parameters.business_fields(
        table_id, field_name, field_type, description)
        SELECT table_id, 'buy_price','VARCHAR(50)', 'Giá mua giao dịch dài (Buy price)' FROM system_parameters.business_tables WHERE table_name='trade_setting' ;</v>
      </c>
    </row>
    <row r="28">
      <c r="A28" s="14">
        <f t="shared" si="1"/>
        <v>26</v>
      </c>
      <c r="B28" s="6" t="s">
        <v>340</v>
      </c>
      <c r="C28" s="6" t="s">
        <v>341</v>
      </c>
      <c r="D28" s="6" t="s">
        <v>81</v>
      </c>
      <c r="E28" s="10" t="str">
        <f t="shared" si="2"/>
        <v>INSERT INTO system_parameters.business_fields(
        table_id, field_name, field_type, description)
        SELECT table_id, 'sell_price','VARCHAR(50)', 'Giá bán giao dịch dài (Sell price)' FROM system_parameters.business_tables WHERE table_name='trade_setting' ;</v>
      </c>
    </row>
    <row r="29">
      <c r="A29" s="14">
        <f t="shared" si="1"/>
        <v>27</v>
      </c>
      <c r="B29" s="6" t="s">
        <v>342</v>
      </c>
      <c r="C29" s="6" t="s">
        <v>343</v>
      </c>
      <c r="D29" s="6" t="s">
        <v>106</v>
      </c>
      <c r="E29" s="10" t="str">
        <f t="shared" si="2"/>
        <v>INSERT INTO system_parameters.business_fields(
        table_id, field_name, field_type, description)
        SELECT table_id, 'buy_delay','INT', 'Thời gian trễ mua (Buy delay)' FROM system_parameters.business_tables WHERE table_name='trade_setting' ;</v>
      </c>
    </row>
    <row r="30">
      <c r="A30" s="14">
        <f t="shared" si="1"/>
        <v>28</v>
      </c>
      <c r="B30" s="6" t="s">
        <v>344</v>
      </c>
      <c r="C30" s="6" t="s">
        <v>345</v>
      </c>
      <c r="D30" s="6" t="s">
        <v>106</v>
      </c>
      <c r="E30" s="10" t="str">
        <f t="shared" si="2"/>
        <v>INSERT INTO system_parameters.business_fields(
        table_id, field_name, field_type, description)
        SELECT table_id, 'sell_delay','INT', 'Thời gian trễ bán (Sell delay)' FROM system_parameters.business_tables WHERE table_name='trade_setting' ;</v>
      </c>
    </row>
    <row r="31">
      <c r="A31" s="14">
        <f t="shared" si="1"/>
        <v>29</v>
      </c>
      <c r="B31" s="6" t="s">
        <v>346</v>
      </c>
      <c r="C31" s="6" t="s">
        <v>347</v>
      </c>
      <c r="D31" s="6" t="s">
        <v>325</v>
      </c>
      <c r="E31" s="10" t="str">
        <f t="shared" si="2"/>
        <v>INSERT INTO system_parameters.business_fields(
        table_id, field_name, field_type, description)
        SELECT table_id, 'short_trades','BOOLEAN', 'Giao dịch bán khống (Short trades)' FROM system_parameters.business_tables WHERE table_name='trade_setting' ;</v>
      </c>
    </row>
    <row r="32">
      <c r="A32" s="14">
        <f t="shared" si="1"/>
        <v>30</v>
      </c>
      <c r="B32" s="6" t="s">
        <v>348</v>
      </c>
      <c r="C32" s="6" t="s">
        <v>349</v>
      </c>
      <c r="D32" s="6" t="s">
        <v>81</v>
      </c>
      <c r="E32" s="10" t="str">
        <f t="shared" si="2"/>
        <v>INSERT INTO system_parameters.business_fields(
        table_id, field_name, field_type, description)
        SELECT table_id, 'short_price','VARCHAR(50)', 'Giá bán khống (Short price)' FROM system_parameters.business_tables WHERE table_name='trade_setting' ;</v>
      </c>
    </row>
    <row r="33">
      <c r="A33" s="14">
        <f t="shared" si="1"/>
        <v>31</v>
      </c>
      <c r="B33" s="6" t="s">
        <v>350</v>
      </c>
      <c r="C33" s="6" t="s">
        <v>351</v>
      </c>
      <c r="D33" s="6" t="s">
        <v>81</v>
      </c>
      <c r="E33" s="10" t="str">
        <f t="shared" si="2"/>
        <v>INSERT INTO system_parameters.business_fields(
        table_id, field_name, field_type, description)
        SELECT table_id, 'cover_price','VARCHAR(50)', 'Giá mua lại (Cover price)' FROM system_parameters.business_tables WHERE table_name='trade_setting' ;</v>
      </c>
    </row>
    <row r="34">
      <c r="A34" s="14">
        <f t="shared" si="1"/>
        <v>32</v>
      </c>
      <c r="B34" s="6" t="s">
        <v>352</v>
      </c>
      <c r="C34" s="6" t="s">
        <v>353</v>
      </c>
      <c r="D34" s="6" t="s">
        <v>106</v>
      </c>
      <c r="E34" s="10" t="str">
        <f t="shared" si="2"/>
        <v>INSERT INTO system_parameters.business_fields(
        table_id, field_name, field_type, description)
        SELECT table_id, 'short_delay','INT', 'Thời gian trễ bán khống (Short delay)' FROM system_parameters.business_tables WHERE table_name='trade_setting' ;</v>
      </c>
    </row>
    <row r="35">
      <c r="A35" s="14">
        <f t="shared" si="1"/>
        <v>33</v>
      </c>
      <c r="B35" s="6" t="s">
        <v>354</v>
      </c>
      <c r="C35" s="6" t="s">
        <v>355</v>
      </c>
      <c r="D35" s="6" t="s">
        <v>106</v>
      </c>
      <c r="E35" s="10" t="str">
        <f t="shared" si="2"/>
        <v>INSERT INTO system_parameters.business_fields(
        table_id, field_name, field_type, description)
        SELECT table_id, 'cover_delay','INT', 'Thời gian trễ mua lại (Cover delay)' FROM system_parameters.business_tables WHERE table_name='trade_setting' ;</v>
      </c>
    </row>
    <row r="36">
      <c r="A36" s="14">
        <f t="shared" si="1"/>
        <v>34</v>
      </c>
      <c r="B36" s="6" t="s">
        <v>356</v>
      </c>
      <c r="C36" s="6" t="s">
        <v>357</v>
      </c>
      <c r="D36" s="6" t="s">
        <v>325</v>
      </c>
      <c r="E36" s="10" t="str">
        <f t="shared" si="2"/>
        <v>INSERT INTO system_parameters.business_fields(
        table_id, field_name, field_type, description)
        SELECT table_id, 'max_loss','BOOLEAN', 'Dừng lỗ tối đa (Maximum loss)' FROM system_parameters.business_tables WHERE table_name='trade_setting' ;</v>
      </c>
    </row>
    <row r="37">
      <c r="A37" s="14">
        <f t="shared" si="1"/>
        <v>35</v>
      </c>
      <c r="B37" s="6" t="s">
        <v>358</v>
      </c>
      <c r="C37" s="6" t="s">
        <v>359</v>
      </c>
      <c r="D37" s="6" t="s">
        <v>325</v>
      </c>
      <c r="E37" s="10" t="str">
        <f t="shared" si="2"/>
        <v>INSERT INTO system_parameters.business_fields(
        table_id, field_name, field_type, description)
        SELECT table_id, 'profit_target','BOOLEAN', 'Mục tiêu lợi nhuận (Profit target)' FROM system_parameters.business_tables WHERE table_name='trade_setting' ;</v>
      </c>
    </row>
    <row r="38">
      <c r="A38" s="14">
        <f t="shared" si="1"/>
        <v>36</v>
      </c>
      <c r="B38" s="6" t="s">
        <v>360</v>
      </c>
      <c r="C38" s="6" t="s">
        <v>361</v>
      </c>
      <c r="D38" s="6" t="s">
        <v>94</v>
      </c>
      <c r="E38" s="10" t="str">
        <f t="shared" si="2"/>
        <v>INSERT INTO system_parameters.business_fields(
        table_id, field_name, field_type, description)
        SELECT table_id, 'max_loss_value','NUMERIC(15, 2)', 'Giá trị dừng lỗ tối đa' FROM system_parameters.business_tables WHERE table_name='trade_setting' ;</v>
      </c>
    </row>
    <row r="39">
      <c r="A39" s="14">
        <f t="shared" si="1"/>
        <v>37</v>
      </c>
      <c r="B39" s="6" t="s">
        <v>362</v>
      </c>
      <c r="C39" s="6" t="s">
        <v>363</v>
      </c>
      <c r="D39" s="6" t="s">
        <v>94</v>
      </c>
      <c r="E39" s="10" t="str">
        <f t="shared" si="2"/>
        <v>INSERT INTO system_parameters.business_fields(
        table_id, field_name, field_type, description)
        SELECT table_id, 'profit_target_value','NUMERIC(15, 2)', 'Giá trị mục tiêu lợi nhuận' FROM system_parameters.business_tables WHERE table_name='trade_setting' ;</v>
      </c>
    </row>
    <row r="40">
      <c r="A40" s="14">
        <f t="shared" si="1"/>
        <v>38</v>
      </c>
      <c r="B40" s="6" t="s">
        <v>364</v>
      </c>
      <c r="C40" s="6" t="s">
        <v>365</v>
      </c>
      <c r="D40" s="6" t="s">
        <v>325</v>
      </c>
      <c r="E40" s="10" t="str">
        <f t="shared" si="2"/>
        <v>INSERT INTO system_parameters.business_fields(
        table_id, field_name, field_type, description)
        SELECT table_id, 'exit_at_stop','BOOLEAN', 'Dừng lỗ có áp dụng không (Exit at stop)' FROM system_parameters.business_tables WHERE table_name='trade_setting' ;</v>
      </c>
    </row>
    <row r="41">
      <c r="A41" s="14">
        <f t="shared" si="1"/>
        <v>39</v>
      </c>
      <c r="B41" s="6" t="s">
        <v>366</v>
      </c>
      <c r="C41" s="6" t="s">
        <v>367</v>
      </c>
      <c r="D41" s="6" t="s">
        <v>325</v>
      </c>
      <c r="E41" s="10" t="str">
        <f t="shared" si="2"/>
        <v>INSERT INTO system_parameters.business_fields(
        table_id, field_name, field_type, description)
        SELECT table_id, 'trailing_stop','BOOLEAN', 'Dừng lỗ theo dõi (Trailing stop)' FROM system_parameters.business_tables WHERE table_name='trade_setting' ;</v>
      </c>
    </row>
    <row r="42">
      <c r="A42" s="14">
        <f t="shared" si="1"/>
        <v>40</v>
      </c>
      <c r="B42" s="6" t="s">
        <v>368</v>
      </c>
      <c r="C42" s="6" t="s">
        <v>369</v>
      </c>
      <c r="D42" s="6" t="s">
        <v>94</v>
      </c>
      <c r="E42" s="10" t="str">
        <f t="shared" si="2"/>
        <v>INSERT INTO system_parameters.business_fields(
        table_id, field_name, field_type, description)
        SELECT table_id, 'trailing_stop_value','NUMERIC(15, 2)', 'Giá trị dừng lỗ theo dõi' FROM system_parameters.business_tables WHERE table_name='trade_setting' ;</v>
      </c>
    </row>
    <row r="43">
      <c r="A43" s="14">
        <f t="shared" si="1"/>
        <v>41</v>
      </c>
      <c r="B43" s="6" t="s">
        <v>370</v>
      </c>
      <c r="C43" s="6" t="s">
        <v>371</v>
      </c>
      <c r="D43" s="6" t="s">
        <v>325</v>
      </c>
      <c r="E43" s="10" t="str">
        <f t="shared" si="2"/>
        <v>INSERT INTO system_parameters.business_fields(
        table_id, field_name, field_type, description)
        SELECT table_id, 'trailing_exit_at_stop','BOOLEAN', 'Dừng lỗ theo dõi có áp dụng không (Exit at stop)' FROM system_parameters.business_tables WHERE table_name='trade_setting' ;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44.0"/>
    <col customWidth="1" min="3" max="3" width="25.88"/>
    <col customWidth="1" min="4" max="4" width="15.38"/>
    <col customWidth="1" min="5" max="5" width="54.75"/>
  </cols>
  <sheetData>
    <row r="1">
      <c r="A1" s="11" t="s">
        <v>0</v>
      </c>
      <c r="B1" s="11" t="s">
        <v>45</v>
      </c>
      <c r="C1" s="12" t="s">
        <v>46</v>
      </c>
      <c r="D1" s="12" t="s">
        <v>47</v>
      </c>
      <c r="E1" s="13" t="s">
        <v>48</v>
      </c>
    </row>
    <row r="2">
      <c r="A2" s="14"/>
      <c r="B2" s="15"/>
      <c r="C2" s="15"/>
      <c r="D2" s="15"/>
      <c r="E2" s="16" t="s">
        <v>372</v>
      </c>
    </row>
    <row r="3">
      <c r="A3" s="14">
        <v>1.0</v>
      </c>
      <c r="B3" s="6" t="s">
        <v>373</v>
      </c>
      <c r="C3" s="6" t="s">
        <v>373</v>
      </c>
      <c r="D3" s="15" t="s">
        <v>51</v>
      </c>
      <c r="E3" s="16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table_name='trade_statistic' ;")</f>
        <v>INSERT INTO system_parameters.business_fields(
        table_id, field_name, field_type, description, is_primary_key)
        SELECT table_id, 'trade_statistic_id','SERIAL', 'trade_statistic_id', true FROM system_parameters.business_tables WHERE table_name='trade_statistic' ;</v>
      </c>
    </row>
    <row r="4">
      <c r="A4" s="14">
        <f t="shared" ref="A4:A52" si="1">A3+1</f>
        <v>2</v>
      </c>
      <c r="B4" s="6" t="s">
        <v>374</v>
      </c>
      <c r="C4" s="6" t="s">
        <v>375</v>
      </c>
      <c r="D4" s="6" t="s">
        <v>81</v>
      </c>
      <c r="E4" s="10" t="str">
        <f>CONCATENATE("INSERT INTO system_parameters.business_fields(
        table_id, field_name, field_type, description)
        SELECT table_id, '",SUBSTITUTE(C4, " ", "_"),"','",D4,"', '",B4,"' FROM system_parameters.business_tables WHERE table_name='trade_statistic' ;")</f>
        <v>INSERT INTO system_parameters.business_fields(
        table_id, field_name, field_type, description)
        SELECT table_id, 'stat_type','VARCHAR(50)', 'Loại thống kê (Tất cả giao dịch, Giao dịch Long, Giao dịch Short)' FROM system_parameters.business_tables WHERE table_name='trade_statistic' ;</v>
      </c>
    </row>
    <row r="5">
      <c r="A5" s="14">
        <f t="shared" si="1"/>
        <v>3</v>
      </c>
      <c r="B5" s="15" t="s">
        <v>296</v>
      </c>
      <c r="C5" s="15" t="s">
        <v>275</v>
      </c>
      <c r="D5" s="15" t="s">
        <v>51</v>
      </c>
      <c r="E5" s="10" t="str">
        <f>CONCATENATE("INSERT INTO system_parameters.business_fields(
        table_id, field_name, field_type, description, is_foreign_key, referenced_table_id, referenced_field_id)
        SELECT a.table_id, '",SUBSTITUTE(C5, " ", "_"),"','",D5,"', '",B5,"', true, b.table_id, c.field_id FROM system_parameters.business_tables a, system_parameters.business_tables b, system_parameters.business_fields c WHERE a.table_name='trade_statistic' and b.table_name='afl' and b.table_id=c.table_id and c.is_primary_key=t"&amp;"rue;")</f>
        <v>INSERT INTO system_parameters.business_fields(
        table_id, field_name, field_type, description, is_foreign_key, referenced_table_id, referenced_field_id)
        SELECT a.table_id, 'afl_id','SERIAL', 'Tên thuật toán', true, b.table_id, c.field_id FROM system_parameters.business_tables a, system_parameters.business_tables b, system_parameters.business_fields c WHERE a.table_name='trade_statistic' and b.table_name='afl' and b.table_id=c.table_id and c.is_primary_key=true;</v>
      </c>
    </row>
    <row r="6">
      <c r="A6" s="14">
        <f t="shared" si="1"/>
        <v>4</v>
      </c>
      <c r="B6" s="6" t="s">
        <v>68</v>
      </c>
      <c r="C6" s="6" t="s">
        <v>67</v>
      </c>
      <c r="D6" s="6" t="s">
        <v>51</v>
      </c>
      <c r="E6" s="10" t="str">
        <f>CONCATENATE("INSERT INTO system_parameters.business_fields(
        table_id, field_name, field_type, description, is_foreign_key, referenced_table_id, referenced_field_id)
        SELECT a.table_id, '",SUBSTITUTE(C6, " ", "_"),"','",D6,"', '",B6,"', true, b.table_id, c.field_id FROM system_parameters.business_tables a, system_parameters.business_tables b, system_parameters.business_fields c WHERE a.table_name='trade_statistic' and b.table_name='stock' and b.table_id=c.table_id and c.is_primary_key"&amp;"=true;")</f>
        <v>INSERT INTO system_parameters.business_fields(
        table_id, field_name, field_type, description, is_foreign_key, referenced_table_id, referenced_field_id)
        SELECT a.table_id, 'stock_id','SERIAL', 'Mã chứng khoán', true, b.table_id, c.field_id FROM system_parameters.business_tables a, system_parameters.business_tables b, system_parameters.business_fields c WHERE a.table_name='trade_statistic' and b.table_name='stock' and b.table_id=c.table_id and c.is_primary_key=true;</v>
      </c>
    </row>
    <row r="7">
      <c r="A7" s="14">
        <f t="shared" si="1"/>
        <v>5</v>
      </c>
      <c r="B7" s="6" t="s">
        <v>294</v>
      </c>
      <c r="C7" s="6" t="s">
        <v>376</v>
      </c>
      <c r="D7" s="6" t="s">
        <v>94</v>
      </c>
      <c r="E7" s="10" t="str">
        <f t="shared" ref="E7:E52" si="2">CONCATENATE("INSERT INTO system_parameters.business_fields(
        table_id, field_name, field_type, description)
        SELECT table_id, '",SUBSTITUTE(C7, " ", "_"),"','",D7,"', '",B7,"' FROM system_parameters.business_tables WHERE table_name='trade_statistic' ;")</f>
        <v>INSERT INTO system_parameters.business_fields(
        table_id, field_name, field_type, description)
        SELECT table_id, 'initial_capital','NUMERIC(15, 2)', 'Vốn ban đầu' FROM system_parameters.business_tables WHERE table_name='trade_statistic' ;</v>
      </c>
    </row>
    <row r="8">
      <c r="A8" s="14">
        <f t="shared" si="1"/>
        <v>6</v>
      </c>
      <c r="B8" s="6" t="s">
        <v>377</v>
      </c>
      <c r="C8" s="6" t="s">
        <v>378</v>
      </c>
      <c r="D8" s="6" t="s">
        <v>94</v>
      </c>
      <c r="E8" s="10" t="str">
        <f t="shared" si="2"/>
        <v>INSERT INTO system_parameters.business_fields(
        table_id, field_name, field_type, description)
        SELECT table_id, 'ending_capital','NUMERIC(15, 2)', 'Vốn kết thúc' FROM system_parameters.business_tables WHERE table_name='trade_statistic' ;</v>
      </c>
    </row>
    <row r="9">
      <c r="A9" s="14">
        <f t="shared" si="1"/>
        <v>7</v>
      </c>
      <c r="B9" s="6" t="s">
        <v>379</v>
      </c>
      <c r="C9" s="6" t="s">
        <v>380</v>
      </c>
      <c r="D9" s="6" t="s">
        <v>94</v>
      </c>
      <c r="E9" s="10" t="str">
        <f t="shared" si="2"/>
        <v>INSERT INTO system_parameters.business_fields(
        table_id, field_name, field_type, description)
        SELECT table_id, 'net_profit','NUMERIC(15, 2)', 'Lợi nhuận ròng' FROM system_parameters.business_tables WHERE table_name='trade_statistic' ;</v>
      </c>
    </row>
    <row r="10">
      <c r="A10" s="14">
        <f t="shared" si="1"/>
        <v>8</v>
      </c>
      <c r="B10" s="6" t="s">
        <v>381</v>
      </c>
      <c r="C10" s="6" t="s">
        <v>382</v>
      </c>
      <c r="D10" s="6" t="s">
        <v>383</v>
      </c>
      <c r="E10" s="10" t="str">
        <f t="shared" si="2"/>
        <v>INSERT INTO system_parameters.business_fields(
        table_id, field_name, field_type, description)
        SELECT table_id, 'net_profit_percent','NUMERIC(6, 2)', 'Tỷ lệ phần trăm lợi nhuận ròng' FROM system_parameters.business_tables WHERE table_name='trade_statistic' ;</v>
      </c>
    </row>
    <row r="11">
      <c r="A11" s="14">
        <f t="shared" si="1"/>
        <v>9</v>
      </c>
      <c r="B11" s="6" t="s">
        <v>384</v>
      </c>
      <c r="C11" s="6" t="s">
        <v>385</v>
      </c>
      <c r="D11" s="6" t="s">
        <v>383</v>
      </c>
      <c r="E11" s="10" t="str">
        <f t="shared" si="2"/>
        <v>INSERT INTO system_parameters.business_fields(
        table_id, field_name, field_type, description)
        SELECT table_id, 'exposure_percent','NUMERIC(6, 2)', 'Tỷ lệ tiếp xúc (Exposure)' FROM system_parameters.business_tables WHERE table_name='trade_statistic' ;</v>
      </c>
    </row>
    <row r="12">
      <c r="A12" s="14">
        <f t="shared" si="1"/>
        <v>10</v>
      </c>
      <c r="B12" s="6" t="s">
        <v>386</v>
      </c>
      <c r="C12" s="6" t="s">
        <v>387</v>
      </c>
      <c r="D12" s="6" t="s">
        <v>383</v>
      </c>
      <c r="E12" s="10" t="str">
        <f t="shared" si="2"/>
        <v>INSERT INTO system_parameters.business_fields(
        table_id, field_name, field_type, description)
        SELECT table_id, 'net_risk_adjusted_return_percent','NUMERIC(6, 2)', 'Lợi nhuận điều chỉnh rủi ro (Risk-Adjusted Return)' FROM system_parameters.business_tables WHERE table_name='trade_statistic' ;</v>
      </c>
    </row>
    <row r="13">
      <c r="A13" s="14">
        <f t="shared" si="1"/>
        <v>11</v>
      </c>
      <c r="B13" s="6" t="s">
        <v>388</v>
      </c>
      <c r="C13" s="6" t="s">
        <v>389</v>
      </c>
      <c r="D13" s="6" t="s">
        <v>383</v>
      </c>
      <c r="E13" s="10" t="str">
        <f t="shared" si="2"/>
        <v>INSERT INTO system_parameters.business_fields(
        table_id, field_name, field_type, description)
        SELECT table_id, 'annual_return_percent','NUMERIC(6, 2)', 'Lợi nhuận hàng năm (Annual Return)' FROM system_parameters.business_tables WHERE table_name='trade_statistic' ;</v>
      </c>
    </row>
    <row r="14">
      <c r="A14" s="14">
        <f t="shared" si="1"/>
        <v>12</v>
      </c>
      <c r="B14" s="6" t="s">
        <v>390</v>
      </c>
      <c r="C14" s="6" t="s">
        <v>391</v>
      </c>
      <c r="D14" s="6" t="s">
        <v>383</v>
      </c>
      <c r="E14" s="10" t="str">
        <f t="shared" si="2"/>
        <v>INSERT INTO system_parameters.business_fields(
        table_id, field_name, field_type, description)
        SELECT table_id, 'risk_adjusted_return_percent','NUMERIC(6, 2)', 'Lợi nhuận điều chỉnh rủi ro trong hệ thống' FROM system_parameters.business_tables WHERE table_name='trade_statistic' ;</v>
      </c>
    </row>
    <row r="15">
      <c r="A15" s="14">
        <f t="shared" si="1"/>
        <v>13</v>
      </c>
      <c r="B15" s="6" t="s">
        <v>392</v>
      </c>
      <c r="C15" s="6" t="s">
        <v>393</v>
      </c>
      <c r="D15" s="6" t="s">
        <v>94</v>
      </c>
      <c r="E15" s="10" t="str">
        <f t="shared" si="2"/>
        <v>INSERT INTO system_parameters.business_fields(
        table_id, field_name, field_type, description)
        SELECT table_id, 'total_transaction_costs','NUMERIC(15, 2)', 'Tổng chi phí giao dịch' FROM system_parameters.business_tables WHERE table_name='trade_statistic' ;</v>
      </c>
    </row>
    <row r="16">
      <c r="A16" s="14">
        <f t="shared" si="1"/>
        <v>14</v>
      </c>
      <c r="B16" s="6" t="s">
        <v>394</v>
      </c>
      <c r="C16" s="6" t="s">
        <v>395</v>
      </c>
      <c r="D16" s="6" t="s">
        <v>106</v>
      </c>
      <c r="E16" s="10" t="str">
        <f t="shared" si="2"/>
        <v>INSERT INTO system_parameters.business_fields(
        table_id, field_name, field_type, description)
        SELECT table_id, 'total_trades','INT', 'Tổng số giao dịch' FROM system_parameters.business_tables WHERE table_name='trade_statistic' ;</v>
      </c>
    </row>
    <row r="17">
      <c r="A17" s="14">
        <f t="shared" si="1"/>
        <v>15</v>
      </c>
      <c r="B17" s="6" t="s">
        <v>396</v>
      </c>
      <c r="C17" s="6" t="s">
        <v>337</v>
      </c>
      <c r="D17" s="6" t="s">
        <v>106</v>
      </c>
      <c r="E17" s="10" t="str">
        <f t="shared" si="2"/>
        <v>INSERT INTO system_parameters.business_fields(
        table_id, field_name, field_type, description)
        SELECT table_id, 'long_trades','INT', 'Số giao dịch Long' FROM system_parameters.business_tables WHERE table_name='trade_statistic' ;</v>
      </c>
    </row>
    <row r="18">
      <c r="A18" s="14">
        <f t="shared" si="1"/>
        <v>16</v>
      </c>
      <c r="B18" s="6" t="s">
        <v>397</v>
      </c>
      <c r="C18" s="6" t="s">
        <v>347</v>
      </c>
      <c r="D18" s="6" t="s">
        <v>106</v>
      </c>
      <c r="E18" s="10" t="str">
        <f t="shared" si="2"/>
        <v>INSERT INTO system_parameters.business_fields(
        table_id, field_name, field_type, description)
        SELECT table_id, 'short_trades','INT', 'Số giao dịch Short' FROM system_parameters.business_tables WHERE table_name='trade_statistic' ;</v>
      </c>
    </row>
    <row r="19">
      <c r="A19" s="14">
        <f t="shared" si="1"/>
        <v>17</v>
      </c>
      <c r="B19" s="6" t="s">
        <v>398</v>
      </c>
      <c r="C19" s="6" t="s">
        <v>399</v>
      </c>
      <c r="D19" s="6" t="s">
        <v>94</v>
      </c>
      <c r="E19" s="10" t="str">
        <f t="shared" si="2"/>
        <v>INSERT INTO system_parameters.business_fields(
        table_id, field_name, field_type, description)
        SELECT table_id, 'avg_profit_loss','NUMERIC(15, 2)', 'Lợi nhuận/lỗ trung bình' FROM system_parameters.business_tables WHERE table_name='trade_statistic' ;</v>
      </c>
    </row>
    <row r="20">
      <c r="A20" s="14">
        <f t="shared" si="1"/>
        <v>18</v>
      </c>
      <c r="B20" s="6" t="s">
        <v>400</v>
      </c>
      <c r="C20" s="6" t="s">
        <v>401</v>
      </c>
      <c r="D20" s="6" t="s">
        <v>383</v>
      </c>
      <c r="E20" s="10" t="str">
        <f t="shared" si="2"/>
        <v>INSERT INTO system_parameters.business_fields(
        table_id, field_name, field_type, description)
        SELECT table_id, 'avg_profit_loss_percent','NUMERIC(6, 2)', 'Tỷ lệ lợi nhuận/lỗ trung bình' FROM system_parameters.business_tables WHERE table_name='trade_statistic' ;</v>
      </c>
    </row>
    <row r="21">
      <c r="A21" s="14">
        <f t="shared" si="1"/>
        <v>19</v>
      </c>
      <c r="B21" s="6" t="s">
        <v>402</v>
      </c>
      <c r="C21" s="6" t="s">
        <v>403</v>
      </c>
      <c r="D21" s="6" t="s">
        <v>205</v>
      </c>
      <c r="E21" s="10" t="str">
        <f t="shared" si="2"/>
        <v>INSERT INTO system_parameters.business_fields(
        table_id, field_name, field_type, description)
        SELECT table_id, 'avg_bars_held','NUMERIC(10, 2)', 'Số thanh trung bình giữ' FROM system_parameters.business_tables WHERE table_name='trade_statistic' ;</v>
      </c>
    </row>
    <row r="22">
      <c r="A22" s="14">
        <f t="shared" si="1"/>
        <v>20</v>
      </c>
      <c r="B22" s="6" t="s">
        <v>404</v>
      </c>
      <c r="C22" s="6" t="s">
        <v>405</v>
      </c>
      <c r="D22" s="6" t="s">
        <v>106</v>
      </c>
      <c r="E22" s="10" t="str">
        <f t="shared" si="2"/>
        <v>INSERT INTO system_parameters.business_fields(
        table_id, field_name, field_type, description)
        SELECT table_id, 'winners_count','INT', 'Số giao dịch thắng' FROM system_parameters.business_tables WHERE table_name='trade_statistic' ;</v>
      </c>
    </row>
    <row r="23">
      <c r="A23" s="14">
        <f t="shared" si="1"/>
        <v>21</v>
      </c>
      <c r="B23" s="6" t="s">
        <v>406</v>
      </c>
      <c r="C23" s="6" t="s">
        <v>407</v>
      </c>
      <c r="D23" s="6" t="s">
        <v>94</v>
      </c>
      <c r="E23" s="10" t="str">
        <f t="shared" si="2"/>
        <v>INSERT INTO system_parameters.business_fields(
        table_id, field_name, field_type, description)
        SELECT table_id, 'total_profit','NUMERIC(15, 2)', 'Tổng lợi nhuận' FROM system_parameters.business_tables WHERE table_name='trade_statistic' ;</v>
      </c>
    </row>
    <row r="24">
      <c r="A24" s="14">
        <f t="shared" si="1"/>
        <v>22</v>
      </c>
      <c r="B24" s="6" t="s">
        <v>408</v>
      </c>
      <c r="C24" s="6" t="s">
        <v>409</v>
      </c>
      <c r="D24" s="6" t="s">
        <v>94</v>
      </c>
      <c r="E24" s="10" t="str">
        <f t="shared" si="2"/>
        <v>INSERT INTO system_parameters.business_fields(
        table_id, field_name, field_type, description)
        SELECT table_id, 'avg_profit','NUMERIC(15, 2)', 'Lợi nhuận trung bình' FROM system_parameters.business_tables WHERE table_name='trade_statistic' ;</v>
      </c>
    </row>
    <row r="25">
      <c r="A25" s="14">
        <f t="shared" si="1"/>
        <v>23</v>
      </c>
      <c r="B25" s="6" t="s">
        <v>410</v>
      </c>
      <c r="C25" s="6" t="s">
        <v>411</v>
      </c>
      <c r="D25" s="6" t="s">
        <v>383</v>
      </c>
      <c r="E25" s="10" t="str">
        <f t="shared" si="2"/>
        <v>INSERT INTO system_parameters.business_fields(
        table_id, field_name, field_type, description)
        SELECT table_id, 'avg_profit_percent','NUMERIC(6, 2)', 'Tỷ lệ lợi nhuận trung bình' FROM system_parameters.business_tables WHERE table_name='trade_statistic' ;</v>
      </c>
    </row>
    <row r="26">
      <c r="A26" s="14">
        <f t="shared" si="1"/>
        <v>24</v>
      </c>
      <c r="B26" s="6" t="s">
        <v>412</v>
      </c>
      <c r="C26" s="6" t="s">
        <v>413</v>
      </c>
      <c r="D26" s="6" t="s">
        <v>205</v>
      </c>
      <c r="E26" s="10" t="str">
        <f t="shared" si="2"/>
        <v>INSERT INTO system_parameters.business_fields(
        table_id, field_name, field_type, description)
        SELECT table_id, 'avg_bars_held_winners','NUMERIC(10, 2)', 'Số thanh trung bình của các giao dịch thắng' FROM system_parameters.business_tables WHERE table_name='trade_statistic' ;</v>
      </c>
    </row>
    <row r="27">
      <c r="A27" s="14">
        <f t="shared" si="1"/>
        <v>25</v>
      </c>
      <c r="B27" s="6" t="s">
        <v>414</v>
      </c>
      <c r="C27" s="6" t="s">
        <v>415</v>
      </c>
      <c r="D27" s="6" t="s">
        <v>106</v>
      </c>
      <c r="E27" s="10" t="str">
        <f t="shared" si="2"/>
        <v>INSERT INTO system_parameters.business_fields(
        table_id, field_name, field_type, description)
        SELECT table_id, 'max_consecutive_winners','INT', 'Số giao dịch thắng liên tiếp lớn nhất' FROM system_parameters.business_tables WHERE table_name='trade_statistic' ;</v>
      </c>
    </row>
    <row r="28">
      <c r="A28" s="14">
        <f t="shared" si="1"/>
        <v>26</v>
      </c>
      <c r="B28" s="6" t="s">
        <v>416</v>
      </c>
      <c r="C28" s="6" t="s">
        <v>417</v>
      </c>
      <c r="D28" s="6" t="s">
        <v>94</v>
      </c>
      <c r="E28" s="10" t="str">
        <f t="shared" si="2"/>
        <v>INSERT INTO system_parameters.business_fields(
        table_id, field_name, field_type, description)
        SELECT table_id, 'largest_win','NUMERIC(15, 2)', 'Giao dịch thắng lớn nhất' FROM system_parameters.business_tables WHERE table_name='trade_statistic' ;</v>
      </c>
    </row>
    <row r="29">
      <c r="A29" s="14">
        <f t="shared" si="1"/>
        <v>27</v>
      </c>
      <c r="B29" s="6" t="s">
        <v>418</v>
      </c>
      <c r="C29" s="6" t="s">
        <v>419</v>
      </c>
      <c r="D29" s="6" t="s">
        <v>106</v>
      </c>
      <c r="E29" s="10" t="str">
        <f t="shared" si="2"/>
        <v>INSERT INTO system_parameters.business_fields(
        table_id, field_name, field_type, description)
        SELECT table_id, 'bars_in_largest_win','INT', 'Số thanh trong giao dịch thắng lớn nhất' FROM system_parameters.business_tables WHERE table_name='trade_statistic' ;</v>
      </c>
    </row>
    <row r="30">
      <c r="A30" s="14">
        <f t="shared" si="1"/>
        <v>28</v>
      </c>
      <c r="B30" s="6" t="s">
        <v>420</v>
      </c>
      <c r="C30" s="6" t="s">
        <v>421</v>
      </c>
      <c r="D30" s="6" t="s">
        <v>106</v>
      </c>
      <c r="E30" s="10" t="str">
        <f t="shared" si="2"/>
        <v>INSERT INTO system_parameters.business_fields(
        table_id, field_name, field_type, description)
        SELECT table_id, 'losers_count','INT', 'Số giao dịch thua' FROM system_parameters.business_tables WHERE table_name='trade_statistic' ;</v>
      </c>
    </row>
    <row r="31">
      <c r="A31" s="14">
        <f t="shared" si="1"/>
        <v>29</v>
      </c>
      <c r="B31" s="6" t="s">
        <v>422</v>
      </c>
      <c r="C31" s="6" t="s">
        <v>423</v>
      </c>
      <c r="D31" s="6" t="s">
        <v>94</v>
      </c>
      <c r="E31" s="10" t="str">
        <f t="shared" si="2"/>
        <v>INSERT INTO system_parameters.business_fields(
        table_id, field_name, field_type, description)
        SELECT table_id, 'total_loss','NUMERIC(15, 2)', 'Tổng lỗ' FROM system_parameters.business_tables WHERE table_name='trade_statistic' ;</v>
      </c>
    </row>
    <row r="32">
      <c r="A32" s="14">
        <f t="shared" si="1"/>
        <v>30</v>
      </c>
      <c r="B32" s="6" t="s">
        <v>424</v>
      </c>
      <c r="C32" s="6" t="s">
        <v>425</v>
      </c>
      <c r="D32" s="6" t="s">
        <v>94</v>
      </c>
      <c r="E32" s="10" t="str">
        <f t="shared" si="2"/>
        <v>INSERT INTO system_parameters.business_fields(
        table_id, field_name, field_type, description)
        SELECT table_id, 'avg_loss','NUMERIC(15, 2)', 'Lỗ trung bình' FROM system_parameters.business_tables WHERE table_name='trade_statistic' ;</v>
      </c>
    </row>
    <row r="33">
      <c r="A33" s="14">
        <f t="shared" si="1"/>
        <v>31</v>
      </c>
      <c r="B33" s="6" t="s">
        <v>426</v>
      </c>
      <c r="C33" s="6" t="s">
        <v>427</v>
      </c>
      <c r="D33" s="6" t="s">
        <v>383</v>
      </c>
      <c r="E33" s="10" t="str">
        <f t="shared" si="2"/>
        <v>INSERT INTO system_parameters.business_fields(
        table_id, field_name, field_type, description)
        SELECT table_id, 'avg_loss_percent','NUMERIC(6, 2)', 'Tỷ lệ lỗ trung bình' FROM system_parameters.business_tables WHERE table_name='trade_statistic' ;</v>
      </c>
    </row>
    <row r="34">
      <c r="A34" s="14">
        <f t="shared" si="1"/>
        <v>32</v>
      </c>
      <c r="B34" s="6" t="s">
        <v>428</v>
      </c>
      <c r="C34" s="6" t="s">
        <v>429</v>
      </c>
      <c r="D34" s="6" t="s">
        <v>205</v>
      </c>
      <c r="E34" s="10" t="str">
        <f t="shared" si="2"/>
        <v>INSERT INTO system_parameters.business_fields(
        table_id, field_name, field_type, description)
        SELECT table_id, 'avg_bars_held_losers','NUMERIC(10, 2)', 'Số thanh trung bình của các giao dịch thua' FROM system_parameters.business_tables WHERE table_name='trade_statistic' ;</v>
      </c>
    </row>
    <row r="35">
      <c r="A35" s="14">
        <f t="shared" si="1"/>
        <v>33</v>
      </c>
      <c r="B35" s="6" t="s">
        <v>430</v>
      </c>
      <c r="C35" s="6" t="s">
        <v>431</v>
      </c>
      <c r="D35" s="6" t="s">
        <v>106</v>
      </c>
      <c r="E35" s="10" t="str">
        <f t="shared" si="2"/>
        <v>INSERT INTO system_parameters.business_fields(
        table_id, field_name, field_type, description)
        SELECT table_id, 'max_consecutive_losers','INT', 'Số giao dịch thua liên tiếp lớn nhất' FROM system_parameters.business_tables WHERE table_name='trade_statistic' ;</v>
      </c>
    </row>
    <row r="36">
      <c r="A36" s="14">
        <f t="shared" si="1"/>
        <v>34</v>
      </c>
      <c r="B36" s="6" t="s">
        <v>432</v>
      </c>
      <c r="C36" s="6" t="s">
        <v>433</v>
      </c>
      <c r="D36" s="6" t="s">
        <v>94</v>
      </c>
      <c r="E36" s="10" t="str">
        <f t="shared" si="2"/>
        <v>INSERT INTO system_parameters.business_fields(
        table_id, field_name, field_type, description)
        SELECT table_id, 'largest_loss','NUMERIC(15, 2)', 'Giao dịch thua lớn nhất' FROM system_parameters.business_tables WHERE table_name='trade_statistic' ;</v>
      </c>
    </row>
    <row r="37">
      <c r="A37" s="14">
        <f t="shared" si="1"/>
        <v>35</v>
      </c>
      <c r="B37" s="6" t="s">
        <v>434</v>
      </c>
      <c r="C37" s="6" t="s">
        <v>435</v>
      </c>
      <c r="D37" s="6" t="s">
        <v>106</v>
      </c>
      <c r="E37" s="10" t="str">
        <f t="shared" si="2"/>
        <v>INSERT INTO system_parameters.business_fields(
        table_id, field_name, field_type, description)
        SELECT table_id, 'bars_in_largest_loss','INT', 'Số thanh trong giao dịch thua lớn nhất' FROM system_parameters.business_tables WHERE table_name='trade_statistic' ;</v>
      </c>
    </row>
    <row r="38">
      <c r="A38" s="14">
        <f t="shared" si="1"/>
        <v>36</v>
      </c>
      <c r="B38" s="6" t="s">
        <v>436</v>
      </c>
      <c r="C38" s="6" t="s">
        <v>437</v>
      </c>
      <c r="D38" s="6" t="s">
        <v>94</v>
      </c>
      <c r="E38" s="10" t="str">
        <f t="shared" si="2"/>
        <v>INSERT INTO system_parameters.business_fields(
        table_id, field_name, field_type, description)
        SELECT table_id, 'max_trade_drawdown','NUMERIC(15, 2)', 'Mức giảm vốn tối đa trong một giao dịch' FROM system_parameters.business_tables WHERE table_name='trade_statistic' ;</v>
      </c>
    </row>
    <row r="39">
      <c r="A39" s="14">
        <f t="shared" si="1"/>
        <v>37</v>
      </c>
      <c r="B39" s="6" t="s">
        <v>438</v>
      </c>
      <c r="C39" s="6" t="s">
        <v>439</v>
      </c>
      <c r="D39" s="6" t="s">
        <v>383</v>
      </c>
      <c r="E39" s="10" t="str">
        <f t="shared" si="2"/>
        <v>INSERT INTO system_parameters.business_fields(
        table_id, field_name, field_type, description)
        SELECT table_id, 'max_trade_drawdown_percent','NUMERIC(6, 2)', 'Tỷ lệ phần trăm giảm vốn tối đa trong một giao dịch' FROM system_parameters.business_tables WHERE table_name='trade_statistic' ;</v>
      </c>
    </row>
    <row r="40">
      <c r="A40" s="14">
        <f t="shared" si="1"/>
        <v>38</v>
      </c>
      <c r="B40" s="6" t="s">
        <v>440</v>
      </c>
      <c r="C40" s="6" t="s">
        <v>441</v>
      </c>
      <c r="D40" s="6" t="s">
        <v>94</v>
      </c>
      <c r="E40" s="10" t="str">
        <f t="shared" si="2"/>
        <v>INSERT INTO system_parameters.business_fields(
        table_id, field_name, field_type, description)
        SELECT table_id, 'max_system_drawdown','NUMERIC(15, 2)', 'Mức giảm vốn tối đa trong hệ thống' FROM system_parameters.business_tables WHERE table_name='trade_statistic' ;</v>
      </c>
    </row>
    <row r="41">
      <c r="A41" s="14">
        <f t="shared" si="1"/>
        <v>39</v>
      </c>
      <c r="B41" s="6" t="s">
        <v>442</v>
      </c>
      <c r="C41" s="6" t="s">
        <v>443</v>
      </c>
      <c r="D41" s="6" t="s">
        <v>383</v>
      </c>
      <c r="E41" s="10" t="str">
        <f t="shared" si="2"/>
        <v>INSERT INTO system_parameters.business_fields(
        table_id, field_name, field_type, description)
        SELECT table_id, 'max_system_drawdown_percent','NUMERIC(6, 2)', 'Tỷ lệ phần trăm giảm vốn tối đa trong hệ thống' FROM system_parameters.business_tables WHERE table_name='trade_statistic' ;</v>
      </c>
    </row>
    <row r="42">
      <c r="A42" s="14">
        <f t="shared" si="1"/>
        <v>40</v>
      </c>
      <c r="B42" s="6" t="s">
        <v>444</v>
      </c>
      <c r="C42" s="6" t="s">
        <v>445</v>
      </c>
      <c r="D42" s="6" t="s">
        <v>205</v>
      </c>
      <c r="E42" s="10" t="str">
        <f t="shared" si="2"/>
        <v>INSERT INTO system_parameters.business_fields(
        table_id, field_name, field_type, description)
        SELECT table_id, 'recovery_factor','NUMERIC(10, 2)', 'Chỉ số phục hồi' FROM system_parameters.business_tables WHERE table_name='trade_statistic' ;</v>
      </c>
    </row>
    <row r="43">
      <c r="A43" s="14">
        <f t="shared" si="1"/>
        <v>41</v>
      </c>
      <c r="B43" s="6" t="s">
        <v>446</v>
      </c>
      <c r="C43" s="6" t="s">
        <v>447</v>
      </c>
      <c r="D43" s="6" t="s">
        <v>205</v>
      </c>
      <c r="E43" s="10" t="str">
        <f t="shared" si="2"/>
        <v>INSERT INTO system_parameters.business_fields(
        table_id, field_name, field_type, description)
        SELECT table_id, 'car_maxdd','NUMERIC(10, 2)', 'Tỷ lệ CAR/MaxDD' FROM system_parameters.business_tables WHERE table_name='trade_statistic' ;</v>
      </c>
    </row>
    <row r="44">
      <c r="A44" s="14">
        <f t="shared" si="1"/>
        <v>42</v>
      </c>
      <c r="B44" s="6" t="s">
        <v>448</v>
      </c>
      <c r="C44" s="6" t="s">
        <v>449</v>
      </c>
      <c r="D44" s="6" t="s">
        <v>205</v>
      </c>
      <c r="E44" s="10" t="str">
        <f t="shared" si="2"/>
        <v>INSERT INTO system_parameters.business_fields(
        table_id, field_name, field_type, description)
        SELECT table_id, 'rar_maxdd','NUMERIC(10, 2)', 'Tỷ lệ RAR/MaxDD' FROM system_parameters.business_tables WHERE table_name='trade_statistic' ;</v>
      </c>
    </row>
    <row r="45">
      <c r="A45" s="14">
        <f t="shared" si="1"/>
        <v>43</v>
      </c>
      <c r="B45" s="6" t="s">
        <v>450</v>
      </c>
      <c r="C45" s="6" t="s">
        <v>451</v>
      </c>
      <c r="D45" s="6" t="s">
        <v>205</v>
      </c>
      <c r="E45" s="10" t="str">
        <f t="shared" si="2"/>
        <v>INSERT INTO system_parameters.business_fields(
        table_id, field_name, field_type, description)
        SELECT table_id, 'profit_factor','NUMERIC(10, 2)', 'Tỷ lệ lợi nhuận của hệ thống' FROM system_parameters.business_tables WHERE table_name='trade_statistic' ;</v>
      </c>
    </row>
    <row r="46">
      <c r="A46" s="14">
        <f t="shared" si="1"/>
        <v>44</v>
      </c>
      <c r="B46" s="6" t="s">
        <v>452</v>
      </c>
      <c r="C46" s="6" t="s">
        <v>453</v>
      </c>
      <c r="D46" s="6" t="s">
        <v>205</v>
      </c>
      <c r="E46" s="10" t="str">
        <f t="shared" si="2"/>
        <v>INSERT INTO system_parameters.business_fields(
        table_id, field_name, field_type, description)
        SELECT table_id, 'payoff_ratio','NUMERIC(10, 2)', 'Tỷ lệ payoff (lợi nhuận/chi phí)' FROM system_parameters.business_tables WHERE table_name='trade_statistic' ;</v>
      </c>
    </row>
    <row r="47">
      <c r="A47" s="14">
        <f t="shared" si="1"/>
        <v>45</v>
      </c>
      <c r="B47" s="6" t="s">
        <v>454</v>
      </c>
      <c r="C47" s="6" t="s">
        <v>455</v>
      </c>
      <c r="D47" s="6" t="s">
        <v>94</v>
      </c>
      <c r="E47" s="10" t="str">
        <f t="shared" si="2"/>
        <v>INSERT INTO system_parameters.business_fields(
        table_id, field_name, field_type, description)
        SELECT table_id, 'standard_error','NUMERIC(15, 2)', 'Sai số chuẩn (Standard Error)' FROM system_parameters.business_tables WHERE table_name='trade_statistic' ;</v>
      </c>
    </row>
    <row r="48">
      <c r="A48" s="14">
        <f t="shared" si="1"/>
        <v>46</v>
      </c>
      <c r="B48" s="6" t="s">
        <v>456</v>
      </c>
      <c r="C48" s="6" t="s">
        <v>457</v>
      </c>
      <c r="D48" s="6" t="s">
        <v>205</v>
      </c>
      <c r="E48" s="10" t="str">
        <f t="shared" si="2"/>
        <v>INSERT INTO system_parameters.business_fields(
        table_id, field_name, field_type, description)
        SELECT table_id, 'risk_reward_ratio','NUMERIC(10, 2)', 'Tỷ lệ rủi ro/lợi nhuận' FROM system_parameters.business_tables WHERE table_name='trade_statistic' ;</v>
      </c>
    </row>
    <row r="49">
      <c r="A49" s="14">
        <f t="shared" si="1"/>
        <v>47</v>
      </c>
      <c r="B49" s="6" t="s">
        <v>458</v>
      </c>
      <c r="C49" s="6" t="s">
        <v>459</v>
      </c>
      <c r="D49" s="6" t="s">
        <v>205</v>
      </c>
      <c r="E49" s="10" t="str">
        <f t="shared" si="2"/>
        <v>INSERT INTO system_parameters.business_fields(
        table_id, field_name, field_type, description)
        SELECT table_id, 'ulcer_index','NUMERIC(10, 2)', 'Chỉ số Ulcer (mức độ tổn thương trong giao dịch)' FROM system_parameters.business_tables WHERE table_name='trade_statistic' ;</v>
      </c>
    </row>
    <row r="50">
      <c r="A50" s="14">
        <f t="shared" si="1"/>
        <v>48</v>
      </c>
      <c r="B50" s="6" t="s">
        <v>460</v>
      </c>
      <c r="C50" s="6" t="s">
        <v>461</v>
      </c>
      <c r="D50" s="6" t="s">
        <v>205</v>
      </c>
      <c r="E50" s="10" t="str">
        <f t="shared" si="2"/>
        <v>INSERT INTO system_parameters.business_fields(
        table_id, field_name, field_type, description)
        SELECT table_id, 'ulcer_performance_index','NUMERIC(10, 2)', 'Chỉ số Ulcer Performance' FROM system_parameters.business_tables WHERE table_name='trade_statistic' ;</v>
      </c>
    </row>
    <row r="51">
      <c r="A51" s="14">
        <f t="shared" si="1"/>
        <v>49</v>
      </c>
      <c r="B51" s="6" t="s">
        <v>462</v>
      </c>
      <c r="C51" s="6" t="s">
        <v>463</v>
      </c>
      <c r="D51" s="6" t="s">
        <v>205</v>
      </c>
      <c r="E51" s="10" t="str">
        <f t="shared" si="2"/>
        <v>INSERT INTO system_parameters.business_fields(
        table_id, field_name, field_type, description)
        SELECT table_id, 'sharpe_ratio_of_trades','NUMERIC(10, 2)', 'Tỷ lệ Sharpe của các giao dịch' FROM system_parameters.business_tables WHERE table_name='trade_statistic' ;</v>
      </c>
    </row>
    <row r="52">
      <c r="A52" s="14">
        <f t="shared" si="1"/>
        <v>50</v>
      </c>
      <c r="B52" s="6" t="s">
        <v>464</v>
      </c>
      <c r="C52" s="6" t="s">
        <v>465</v>
      </c>
      <c r="D52" s="6" t="s">
        <v>205</v>
      </c>
      <c r="E52" s="10" t="str">
        <f t="shared" si="2"/>
        <v>INSERT INTO system_parameters.business_fields(
        table_id, field_name, field_type, description)
        SELECT table_id, 'k_ratio','NUMERIC(10, 2)', 'Tỷ lệ K của hệ thống' FROM system_parameters.business_tables WHERE table_name='trade_statistic' ;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39.63"/>
    <col customWidth="1" min="3" max="3" width="15.75"/>
    <col customWidth="1" min="4" max="4" width="22.25"/>
    <col customWidth="1" min="5" max="5" width="55.25"/>
  </cols>
  <sheetData>
    <row r="1">
      <c r="A1" s="11" t="s">
        <v>0</v>
      </c>
      <c r="B1" s="11" t="s">
        <v>45</v>
      </c>
      <c r="C1" s="12" t="s">
        <v>46</v>
      </c>
      <c r="D1" s="12" t="s">
        <v>47</v>
      </c>
      <c r="E1" s="13" t="s">
        <v>48</v>
      </c>
    </row>
    <row r="2">
      <c r="A2" s="14"/>
      <c r="B2" s="15"/>
      <c r="C2" s="15"/>
      <c r="D2" s="15"/>
      <c r="E2" s="16" t="s">
        <v>466</v>
      </c>
    </row>
    <row r="3">
      <c r="A3" s="14">
        <v>1.0</v>
      </c>
      <c r="B3" s="6" t="s">
        <v>467</v>
      </c>
      <c r="C3" s="6" t="s">
        <v>467</v>
      </c>
      <c r="D3" s="15" t="s">
        <v>51</v>
      </c>
      <c r="E3" s="16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table_name='trade_entry' ;")</f>
        <v>INSERT INTO system_parameters.business_fields(
        table_id, field_name, field_type, description, is_primary_key)
        SELECT table_id, 'trade_entry_id','SERIAL', 'trade_entry_id', true FROM system_parameters.business_tables WHERE table_name='trade_entry' ;</v>
      </c>
    </row>
    <row r="4">
      <c r="A4" s="14">
        <f t="shared" ref="A4:A19" si="1">A3+1</f>
        <v>2</v>
      </c>
      <c r="B4" s="6" t="s">
        <v>468</v>
      </c>
      <c r="C4" s="6" t="s">
        <v>469</v>
      </c>
      <c r="D4" s="6" t="s">
        <v>470</v>
      </c>
      <c r="E4" s="10" t="str">
        <f>CONCATENATE("INSERT INTO system_parameters.business_fields(
        table_id, field_name, field_type, description)
        SELECT table_id, '",SUBSTITUTE(C4, " ", "_"),"','",D4,"', '",B4,"' FROM system_parameters.business_tables WHERE table_name='trade_entry' ;")</f>
        <v>INSERT INTO system_parameters.business_fields(
        table_id, field_name, field_type, description)
        SELECT table_id, 'trade_type','VARCHAR(10) NOT NULL', 'Loại giao dịch (Long/Short)' FROM system_parameters.business_tables WHERE table_name='trade_entry' ;</v>
      </c>
    </row>
    <row r="5">
      <c r="A5" s="14">
        <f t="shared" si="1"/>
        <v>3</v>
      </c>
      <c r="B5" s="15" t="s">
        <v>296</v>
      </c>
      <c r="C5" s="15" t="s">
        <v>275</v>
      </c>
      <c r="D5" s="15" t="s">
        <v>51</v>
      </c>
      <c r="E5" s="10" t="str">
        <f>CONCATENATE("INSERT INTO system_parameters.business_fields(
        table_id, field_name, field_type, description, is_foreign_key, referenced_table_id, referenced_field_id)
        SELECT a.table_id, '",SUBSTITUTE(C5, " ", "_"),"','",D5,"', '",B5,"', true, b.table_id, c.field_id FROM system_parameters.business_tables a, system_parameters.business_tables b, system_parameters.business_fields c WHERE a.table_name='trade_entry' and b.table_name='afl' and b.table_id=c.table_id and c.is_primary_key=true;")</f>
        <v>INSERT INTO system_parameters.business_fields(
        table_id, field_name, field_type, description, is_foreign_key, referenced_table_id, referenced_field_id)
        SELECT a.table_id, 'afl_id','SERIAL', 'Tên thuật toán', true, b.table_id, c.field_id FROM system_parameters.business_tables a, system_parameters.business_tables b, system_parameters.business_fields c WHERE a.table_name='trade_entry' and b.table_name='afl' and b.table_id=c.table_id and c.is_primary_key=true;</v>
      </c>
    </row>
    <row r="6">
      <c r="A6" s="14">
        <f t="shared" si="1"/>
        <v>4</v>
      </c>
      <c r="B6" s="6" t="s">
        <v>68</v>
      </c>
      <c r="C6" s="6" t="s">
        <v>67</v>
      </c>
      <c r="D6" s="6" t="s">
        <v>51</v>
      </c>
      <c r="E6" s="10" t="str">
        <f>CONCATENATE("INSERT INTO system_parameters.business_fields(
        table_id, field_name, field_type, description, is_foreign_key, referenced_table_id, referenced_field_id)
        SELECT a.table_id, '",SUBSTITUTE(C6, " ", "_"),"','",D6,"', '",B6,"', true, b.table_id, c.field_id FROM system_parameters.business_tables a, system_parameters.business_tables b, system_parameters.business_fields c WHERE a.table_name='trade_entry' and b.table_name='stock' and b.table_id=c.table_id and c.is_primary_key=tru"&amp;"e;")</f>
        <v>INSERT INTO system_parameters.business_fields(
        table_id, field_name, field_type, description, is_foreign_key, referenced_table_id, referenced_field_id)
        SELECT a.table_id, 'stock_id','SERIAL', 'Mã chứng khoán', true, b.table_id, c.field_id FROM system_parameters.business_tables a, system_parameters.business_tables b, system_parameters.business_fields c WHERE a.table_name='trade_entry' and b.table_name='stock' and b.table_id=c.table_id and c.is_primary_key=true;</v>
      </c>
    </row>
    <row r="7">
      <c r="A7" s="14">
        <f t="shared" si="1"/>
        <v>5</v>
      </c>
      <c r="B7" s="6" t="s">
        <v>471</v>
      </c>
      <c r="C7" s="6" t="s">
        <v>472</v>
      </c>
      <c r="D7" s="6" t="s">
        <v>473</v>
      </c>
      <c r="E7" s="10" t="str">
        <f t="shared" ref="E7:E19" si="2">CONCATENATE("INSERT INTO system_parameters.business_fields(
        table_id, field_name, field_type, description)
        SELECT table_id, '",SUBSTITUTE(C7, " ", "_"),"','",D7,"', '",B7,"' FROM system_parameters.business_tables WHERE table_name='trade_entry' ;")</f>
        <v>INSERT INTO system_parameters.business_fields(
        table_id, field_name, field_type, description)
        SELECT table_id, 'entry_date','TIMESTAMP NOT NULL', 'Ngày vào lệnh' FROM system_parameters.business_tables WHERE table_name='trade_entry' ;</v>
      </c>
    </row>
    <row r="8">
      <c r="A8" s="14">
        <f t="shared" si="1"/>
        <v>6</v>
      </c>
      <c r="B8" s="6" t="s">
        <v>474</v>
      </c>
      <c r="C8" s="6" t="s">
        <v>475</v>
      </c>
      <c r="D8" s="6" t="s">
        <v>476</v>
      </c>
      <c r="E8" s="10" t="str">
        <f t="shared" si="2"/>
        <v>INSERT INTO system_parameters.business_fields(
        table_id, field_name, field_type, description)
        SELECT table_id, 'entry_price','NUMERIC(10, 5) NOT NULL', 'Giá vào lệnh' FROM system_parameters.business_tables WHERE table_name='trade_entry' ;</v>
      </c>
    </row>
    <row r="9">
      <c r="A9" s="14">
        <f t="shared" si="1"/>
        <v>7</v>
      </c>
      <c r="B9" s="6" t="s">
        <v>477</v>
      </c>
      <c r="C9" s="6" t="s">
        <v>478</v>
      </c>
      <c r="D9" s="6" t="s">
        <v>119</v>
      </c>
      <c r="E9" s="10" t="str">
        <f t="shared" si="2"/>
        <v>INSERT INTO system_parameters.business_fields(
        table_id, field_name, field_type, description)
        SELECT table_id, 'exit_date','TIMESTAMP', 'Ngày thoát lệnh' FROM system_parameters.business_tables WHERE table_name='trade_entry' ;</v>
      </c>
    </row>
    <row r="10">
      <c r="A10" s="14">
        <f t="shared" si="1"/>
        <v>8</v>
      </c>
      <c r="B10" s="6" t="s">
        <v>479</v>
      </c>
      <c r="C10" s="6" t="s">
        <v>480</v>
      </c>
      <c r="D10" s="6" t="s">
        <v>481</v>
      </c>
      <c r="E10" s="10" t="str">
        <f t="shared" si="2"/>
        <v>INSERT INTO system_parameters.business_fields(
        table_id, field_name, field_type, description)
        SELECT table_id, 'exit_price','NUMERIC(10, 5)', 'Giá thoát lệnh' FROM system_parameters.business_tables WHERE table_name='trade_entry' ;</v>
      </c>
    </row>
    <row r="11">
      <c r="A11" s="14">
        <f t="shared" si="1"/>
        <v>9</v>
      </c>
      <c r="B11" s="6" t="s">
        <v>482</v>
      </c>
      <c r="C11" s="6" t="s">
        <v>483</v>
      </c>
      <c r="D11" s="6" t="s">
        <v>383</v>
      </c>
      <c r="E11" s="10" t="str">
        <f t="shared" si="2"/>
        <v>INSERT INTO system_parameters.business_fields(
        table_id, field_name, field_type, description)
        SELECT table_id, 'percentage_change','NUMERIC(6, 2)', '% thay đổi giá' FROM system_parameters.business_tables WHERE table_name='trade_entry' ;</v>
      </c>
    </row>
    <row r="12">
      <c r="A12" s="14">
        <f t="shared" si="1"/>
        <v>10</v>
      </c>
      <c r="B12" s="6" t="s">
        <v>484</v>
      </c>
      <c r="C12" s="6" t="s">
        <v>485</v>
      </c>
      <c r="D12" s="6" t="s">
        <v>205</v>
      </c>
      <c r="E12" s="10" t="str">
        <f t="shared" si="2"/>
        <v>INSERT INTO system_parameters.business_fields(
        table_id, field_name, field_type, description)
        SELECT table_id, 'profit','NUMERIC(10, 2)', 'Lợi nhuận' FROM system_parameters.business_tables WHERE table_name='trade_entry' ;</v>
      </c>
    </row>
    <row r="13">
      <c r="A13" s="14">
        <f t="shared" si="1"/>
        <v>11</v>
      </c>
      <c r="B13" s="6" t="s">
        <v>486</v>
      </c>
      <c r="C13" s="6" t="s">
        <v>487</v>
      </c>
      <c r="D13" s="6" t="s">
        <v>205</v>
      </c>
      <c r="E13" s="10" t="str">
        <f t="shared" si="2"/>
        <v>INSERT INTO system_parameters.business_fields(
        table_id, field_name, field_type, description)
        SELECT table_id, 'shares','NUMERIC(10, 2)', 'Số lượng cổ phiếu' FROM system_parameters.business_tables WHERE table_name='trade_entry' ;</v>
      </c>
    </row>
    <row r="14">
      <c r="A14" s="14">
        <f t="shared" si="1"/>
        <v>12</v>
      </c>
      <c r="B14" s="6" t="s">
        <v>488</v>
      </c>
      <c r="C14" s="6" t="s">
        <v>489</v>
      </c>
      <c r="D14" s="6" t="s">
        <v>94</v>
      </c>
      <c r="E14" s="10" t="str">
        <f t="shared" si="2"/>
        <v>INSERT INTO system_parameters.business_fields(
        table_id, field_name, field_type, description)
        SELECT table_id, 'position_value','NUMERIC(15, 2)', 'Giá trị vị thế' FROM system_parameters.business_tables WHERE table_name='trade_entry' ;</v>
      </c>
    </row>
    <row r="15">
      <c r="A15" s="14">
        <f t="shared" si="1"/>
        <v>13</v>
      </c>
      <c r="B15" s="6" t="s">
        <v>490</v>
      </c>
      <c r="C15" s="6" t="s">
        <v>491</v>
      </c>
      <c r="D15" s="6" t="s">
        <v>94</v>
      </c>
      <c r="E15" s="10" t="str">
        <f t="shared" si="2"/>
        <v>INSERT INTO system_parameters.business_fields(
        table_id, field_name, field_type, description)
        SELECT table_id, 'cumulative_profit','NUMERIC(15, 2)', 'Lợi nhuận tích lũy' FROM system_parameters.business_tables WHERE table_name='trade_entry' ;</v>
      </c>
    </row>
    <row r="16">
      <c r="A16" s="14">
        <f t="shared" si="1"/>
        <v>14</v>
      </c>
      <c r="B16" s="6" t="s">
        <v>492</v>
      </c>
      <c r="C16" s="6" t="s">
        <v>493</v>
      </c>
      <c r="D16" s="6" t="s">
        <v>106</v>
      </c>
      <c r="E16" s="10" t="str">
        <f t="shared" si="2"/>
        <v>INSERT INTO system_parameters.business_fields(
        table_id, field_name, field_type, description)
        SELECT table_id, 'num_bars','INT', 'Số lượng thanh' FROM system_parameters.business_tables WHERE table_name='trade_entry' ;</v>
      </c>
    </row>
    <row r="17">
      <c r="A17" s="14">
        <f t="shared" si="1"/>
        <v>15</v>
      </c>
      <c r="B17" s="6" t="s">
        <v>494</v>
      </c>
      <c r="C17" s="6" t="s">
        <v>495</v>
      </c>
      <c r="D17" s="6" t="s">
        <v>205</v>
      </c>
      <c r="E17" s="10" t="str">
        <f t="shared" si="2"/>
        <v>INSERT INTO system_parameters.business_fields(
        table_id, field_name, field_type, description)
        SELECT table_id, 'profit_per_bar','NUMERIC(10, 2)', 'Lợi nhuận trên mỗi thanh' FROM system_parameters.business_tables WHERE table_name='trade_entry' ;</v>
      </c>
    </row>
    <row r="18">
      <c r="A18" s="14">
        <f t="shared" si="1"/>
        <v>16</v>
      </c>
      <c r="B18" s="6" t="s">
        <v>496</v>
      </c>
      <c r="C18" s="6" t="s">
        <v>497</v>
      </c>
      <c r="D18" s="6" t="s">
        <v>86</v>
      </c>
      <c r="E18" s="10" t="str">
        <f t="shared" si="2"/>
        <v>INSERT INTO system_parameters.business_fields(
        table_id, field_name, field_type, description)
        SELECT table_id, 'mae_mfe','VARCHAR(20)', 'MAE/MFE (Maximum Adverse/Favorable Excursion)' FROM system_parameters.business_tables WHERE table_name='trade_entry' ;</v>
      </c>
    </row>
    <row r="19">
      <c r="A19" s="14">
        <f t="shared" si="1"/>
        <v>17</v>
      </c>
      <c r="B19" s="6" t="s">
        <v>498</v>
      </c>
      <c r="C19" s="6" t="s">
        <v>499</v>
      </c>
      <c r="D19" s="6" t="s">
        <v>86</v>
      </c>
      <c r="E19" s="10" t="str">
        <f t="shared" si="2"/>
        <v>INSERT INTO system_parameters.business_fields(
        table_id, field_name, field_type, description)
        SELECT table_id, 'scale_in_out','VARCHAR(20)', 'Thang đo vào/ra' FROM system_parameters.business_tables WHERE table_name='trade_entry' ;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8.38"/>
    <col customWidth="1" min="3" max="3" width="14.25"/>
    <col customWidth="1" min="4" max="4" width="13.63"/>
    <col customWidth="1" min="5" max="5" width="62.0"/>
  </cols>
  <sheetData>
    <row r="1">
      <c r="A1" s="11" t="s">
        <v>0</v>
      </c>
      <c r="B1" s="11" t="s">
        <v>45</v>
      </c>
      <c r="C1" s="12" t="s">
        <v>46</v>
      </c>
      <c r="D1" s="12" t="s">
        <v>47</v>
      </c>
      <c r="E1" s="13" t="s">
        <v>48</v>
      </c>
    </row>
    <row r="2">
      <c r="A2" s="14"/>
      <c r="B2" s="15"/>
      <c r="C2" s="15"/>
      <c r="D2" s="15"/>
      <c r="E2" s="16" t="s">
        <v>500</v>
      </c>
    </row>
    <row r="3">
      <c r="A3" s="14">
        <v>1.0</v>
      </c>
      <c r="B3" s="15" t="s">
        <v>501</v>
      </c>
      <c r="C3" s="15" t="s">
        <v>501</v>
      </c>
      <c r="D3" s="15" t="s">
        <v>51</v>
      </c>
      <c r="E3" s="16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table_name='trade_signal' ;")</f>
        <v>INSERT INTO system_parameters.business_fields(
        table_id, field_name, field_type, description, is_primary_key)
        SELECT table_id, 'trade_signal_id','SERIAL', 'trade_signal_id', true FROM system_parameters.business_tables WHERE table_name='trade_signal' ;</v>
      </c>
    </row>
    <row r="4">
      <c r="A4" s="14">
        <f t="shared" ref="A4:A12" si="1">A3+1</f>
        <v>2</v>
      </c>
      <c r="B4" s="15" t="s">
        <v>502</v>
      </c>
      <c r="C4" s="15" t="s">
        <v>503</v>
      </c>
      <c r="D4" s="15" t="s">
        <v>75</v>
      </c>
      <c r="E4" s="10" t="str">
        <f>CONCATENATE("INSERT INTO system_parameters.business_fields(
        table_id, field_name, field_type, description)
        SELECT table_id, '",SUBSTITUTE(C4, " ", "_"),"','",D4,"', '",B4,"' FROM system_parameters.business_tables WHERE table_name='trade_signal' ;")</f>
        <v>INSERT INTO system_parameters.business_fields(
        table_id, field_name, field_type, description)
        SELECT table_id, 'trade_signal_date','DATE', 'Ngày tín hiệu giao dịch' FROM system_parameters.business_tables WHERE table_name='trade_signal' ;</v>
      </c>
    </row>
    <row r="5">
      <c r="A5" s="14">
        <f t="shared" si="1"/>
        <v>3</v>
      </c>
      <c r="B5" s="15" t="s">
        <v>68</v>
      </c>
      <c r="C5" s="15" t="s">
        <v>67</v>
      </c>
      <c r="D5" s="15" t="s">
        <v>51</v>
      </c>
      <c r="E5" s="10" t="str">
        <f>CONCATENATE("INSERT INTO system_parameters.business_fields(
        table_id, field_name, field_type, description, is_foreign_key, referenced_table_id, referenced_field_id)
        SELECT a.table_id, '",SUBSTITUTE(C5, " ", "_"),"','",D5,"', '",B5,"', true, b.table_id, c.field_id FROM system_parameters.business_tables a, system_parameters.business_tables b, system_parameters.business_fields c WHERE a.table_name='trade_signal' and b.table_name='stock' and b.table_id=c.table_id and c.is_primary_key=tr"&amp;"ue;")</f>
        <v>INSERT INTO system_parameters.business_fields(
        table_id, field_name, field_type, description, is_foreign_key, referenced_table_id, referenced_field_id)
        SELECT a.table_id, 'stock_id','SERIAL', 'Mã chứng khoán', true, b.table_id, c.field_id FROM system_parameters.business_tables a, system_parameters.business_tables b, system_parameters.business_fields c WHERE a.table_name='trade_signal' and b.table_name='stock' and b.table_id=c.table_id and c.is_primary_key=true;</v>
      </c>
    </row>
    <row r="6">
      <c r="A6" s="14">
        <f t="shared" si="1"/>
        <v>4</v>
      </c>
      <c r="B6" s="6" t="s">
        <v>504</v>
      </c>
      <c r="C6" s="6" t="s">
        <v>505</v>
      </c>
      <c r="D6" s="6" t="s">
        <v>506</v>
      </c>
      <c r="E6" s="10" t="str">
        <f t="shared" ref="E6:E12" si="2">CONCATENATE("INSERT INTO system_parameters.business_fields(
        table_id, field_name, field_type, description)
        SELECT table_id, '",SUBSTITUTE(C6, " ", "_"),"','",D6,"', '",B6,"' FROM system_parameters.business_tables WHERE table_name='trade_signal' ;")</f>
        <v>INSERT INTO system_parameters.business_fields(
        table_id, field_name, field_type, description)
        SELECT table_id, 'signal_type','VARCHAR(4)', 'Loại tín hiệu' FROM system_parameters.business_tables WHERE table_name='trade_signal' ;</v>
      </c>
    </row>
    <row r="7">
      <c r="A7" s="14">
        <f t="shared" si="1"/>
        <v>5</v>
      </c>
      <c r="B7" s="6" t="s">
        <v>507</v>
      </c>
      <c r="C7" s="6" t="s">
        <v>508</v>
      </c>
      <c r="D7" s="6" t="s">
        <v>94</v>
      </c>
      <c r="E7" s="10" t="str">
        <f t="shared" si="2"/>
        <v>INSERT INTO system_parameters.business_fields(
        table_id, field_name, field_type, description)
        SELECT table_id, 'price','NUMERIC(15, 2)', 'Giá' FROM system_parameters.business_tables WHERE table_name='trade_signal' ;</v>
      </c>
    </row>
    <row r="8">
      <c r="A8" s="14">
        <f t="shared" si="1"/>
        <v>6</v>
      </c>
      <c r="B8" s="6" t="s">
        <v>509</v>
      </c>
      <c r="C8" s="6" t="s">
        <v>510</v>
      </c>
      <c r="D8" s="6" t="s">
        <v>94</v>
      </c>
      <c r="E8" s="10" t="str">
        <f t="shared" si="2"/>
        <v>INSERT INTO system_parameters.business_fields(
        table_id, field_name, field_type, description)
        SELECT table_id, 'stop_loss','NUMERIC(15, 2)', 'Giá cắt lỗ' FROM system_parameters.business_tables WHERE table_name='trade_signal' ;</v>
      </c>
    </row>
    <row r="9">
      <c r="A9" s="14">
        <f t="shared" si="1"/>
        <v>7</v>
      </c>
      <c r="B9" s="6" t="s">
        <v>511</v>
      </c>
      <c r="C9" s="6" t="s">
        <v>512</v>
      </c>
      <c r="D9" s="6" t="s">
        <v>94</v>
      </c>
      <c r="E9" s="10" t="str">
        <f t="shared" si="2"/>
        <v>INSERT INTO system_parameters.business_fields(
        table_id, field_name, field_type, description)
        SELECT table_id, 'take_profit','NUMERIC(15, 2)', 'Giá chốt lời' FROM system_parameters.business_tables WHERE table_name='trade_signal' ;</v>
      </c>
    </row>
    <row r="10">
      <c r="A10" s="14">
        <f t="shared" si="1"/>
        <v>8</v>
      </c>
      <c r="B10" s="6" t="s">
        <v>513</v>
      </c>
      <c r="C10" s="6" t="s">
        <v>514</v>
      </c>
      <c r="D10" s="6" t="s">
        <v>94</v>
      </c>
      <c r="E10" s="10" t="str">
        <f t="shared" si="2"/>
        <v>INSERT INTO system_parameters.business_fields(
        table_id, field_name, field_type, description)
        SELECT table_id, 'risk','NUMERIC(15, 2)', 'Tỉ lệ rủi ro' FROM system_parameters.business_tables WHERE table_name='trade_signal' ;</v>
      </c>
    </row>
    <row r="11">
      <c r="A11" s="14">
        <f t="shared" si="1"/>
        <v>9</v>
      </c>
      <c r="B11" s="6" t="s">
        <v>515</v>
      </c>
      <c r="C11" s="6" t="s">
        <v>516</v>
      </c>
      <c r="D11" s="6" t="s">
        <v>94</v>
      </c>
      <c r="E11" s="10" t="str">
        <f t="shared" si="2"/>
        <v>INSERT INTO system_parameters.business_fields(
        table_id, field_name, field_type, description)
        SELECT table_id, 'reward','NUMERIC(15, 2)', 'Tỉ lệ lợi nhuận' FROM system_parameters.business_tables WHERE table_name='trade_signal' ;</v>
      </c>
    </row>
    <row r="12">
      <c r="A12" s="14">
        <f t="shared" si="1"/>
        <v>10</v>
      </c>
      <c r="B12" s="6" t="s">
        <v>517</v>
      </c>
      <c r="C12" s="6" t="s">
        <v>518</v>
      </c>
      <c r="D12" s="6" t="s">
        <v>383</v>
      </c>
      <c r="E12" s="10" t="str">
        <f t="shared" si="2"/>
        <v>INSERT INTO system_parameters.business_fields(
        table_id, field_name, field_type, description)
        SELECT table_id, 'ratio','NUMERIC(6, 2)', 'Tỉ lệ rủi ro/lợi nhuận' FROM system_parameters.business_tables WHERE table_name='trade_signal' ;</v>
      </c>
    </row>
    <row r="13">
      <c r="A13" s="14">
        <v>11.0</v>
      </c>
      <c r="B13" s="15" t="s">
        <v>176</v>
      </c>
      <c r="C13" s="15" t="s">
        <v>83</v>
      </c>
      <c r="D13" s="15" t="s">
        <v>51</v>
      </c>
      <c r="E13" s="10" t="str">
        <f>CONCATENATE("INSERT INTO system_parameters.business_fields(
        table_id, field_name, field_type, description, is_foreign_key, referenced_table_id, referenced_field_id)
        SELECT a.table_id, '",SUBSTITUTE(C13, " ", "_"),"','",D13,"', '",B13,"', true, b.table_id, c.field_id FROM system_parameters.business_tables a, system_parameters.business_tables b, system_parameters.business_fields c WHERE a.table_name='trade_signal' and b.table_name='user' and b.table_id=c.table_id and c.is_primary_key=tru"&amp;"e;")</f>
        <v>INSERT INTO system_parameters.business_fields(
        table_id, field_name, field_type, description, is_foreign_key, referenced_table_id, referenced_field_id)
        SELECT a.table_id, 'user_id','SERIAL', 'Tên Leader', true, b.table_id, c.field_id FROM system_parameters.business_tables a, system_parameters.business_tables b, system_parameters.business_fields c WHERE a.table_name='trade_signal' and b.table_name='user' and b.table_id=c.table_id and c.is_primary_key=true;</v>
      </c>
    </row>
    <row r="14">
      <c r="A14" s="14">
        <f>A13+1</f>
        <v>12</v>
      </c>
      <c r="B14" s="15" t="s">
        <v>296</v>
      </c>
      <c r="C14" s="15" t="s">
        <v>275</v>
      </c>
      <c r="D14" s="15" t="s">
        <v>51</v>
      </c>
      <c r="E14" s="10" t="str">
        <f>CONCATENATE("INSERT INTO system_parameters.business_fields(
        table_id, field_name, field_type, description, is_foreign_key, referenced_table_id, referenced_field_id)
        SELECT a.table_id, '",SUBSTITUTE(C14, " ", "_"),"','",D14,"', '",B14,"', true, b.table_id, c.field_id FROM system_parameters.business_tables a, system_parameters.business_tables b, system_parameters.business_fields c WHERE a.table_name='trade_signal' and b.table_name='afl' and b.table_id=c.table_id and c.is_primary_key=true"&amp;";")</f>
        <v>INSERT INTO system_parameters.business_fields(
        table_id, field_name, field_type, description, is_foreign_key, referenced_table_id, referenced_field_id)
        SELECT a.table_id, 'afl_id','SERIAL', 'Tên thuật toán', true, b.table_id, c.field_id FROM system_parameters.business_tables a, system_parameters.business_tables b, system_parameters.business_fields c WHERE a.table_name='trade_signal' and b.table_name='afl' and b.table_id=c.table_id and c.is_primary_key=true;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39.13"/>
    <col customWidth="1" min="3" max="3" width="14.0"/>
    <col customWidth="1" min="4" max="4" width="13.63"/>
    <col customWidth="1" min="5" max="5" width="51.88"/>
  </cols>
  <sheetData>
    <row r="1">
      <c r="A1" s="11" t="s">
        <v>0</v>
      </c>
      <c r="B1" s="11" t="s">
        <v>45</v>
      </c>
      <c r="C1" s="12" t="s">
        <v>46</v>
      </c>
      <c r="D1" s="12" t="s">
        <v>47</v>
      </c>
      <c r="E1" s="13" t="s">
        <v>48</v>
      </c>
    </row>
    <row r="2">
      <c r="A2" s="14"/>
      <c r="B2" s="15"/>
      <c r="C2" s="15"/>
      <c r="D2" s="15"/>
      <c r="E2" s="16" t="s">
        <v>519</v>
      </c>
    </row>
    <row r="3">
      <c r="A3" s="14">
        <v>1.0</v>
      </c>
      <c r="B3" s="15" t="s">
        <v>520</v>
      </c>
      <c r="C3" s="15" t="s">
        <v>520</v>
      </c>
      <c r="D3" s="15" t="s">
        <v>51</v>
      </c>
      <c r="E3" s="16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table_name='order' ;")</f>
        <v>INSERT INTO system_parameters.business_fields(
        table_id, field_name, field_type, description, is_primary_key)
        SELECT table_id, 'order_id','SERIAL', 'order_id', true FROM system_parameters.business_tables WHERE table_name='order' ;</v>
      </c>
    </row>
    <row r="4">
      <c r="A4" s="14">
        <f t="shared" ref="A4:A11" si="1">A3+1</f>
        <v>2</v>
      </c>
      <c r="B4" s="15" t="s">
        <v>521</v>
      </c>
      <c r="C4" s="15" t="s">
        <v>522</v>
      </c>
      <c r="D4" s="15" t="s">
        <v>70</v>
      </c>
      <c r="E4" s="10" t="str">
        <f>CONCATENATE("INSERT INTO system_parameters.business_fields(
        table_id, field_name, field_type, description)
        SELECT table_id, '",SUBSTITUTE(C4, " ", "_"),"','",D4,"', '",B4,"' FROM system_parameters.business_tables WHERE table_name='order' ;")</f>
        <v>INSERT INTO system_parameters.business_fields(
        table_id, field_name, field_type, description)
        SELECT table_id, 'order_type','VARCHAR(10)', 'Loại lệnh (VD: Mua, Bán).' FROM system_parameters.business_tables WHERE table_name='order' ;</v>
      </c>
    </row>
    <row r="5">
      <c r="A5" s="14">
        <f t="shared" si="1"/>
        <v>3</v>
      </c>
      <c r="B5" s="15" t="s">
        <v>189</v>
      </c>
      <c r="C5" s="15" t="s">
        <v>83</v>
      </c>
      <c r="D5" s="15" t="s">
        <v>51</v>
      </c>
      <c r="E5" s="10" t="str">
        <f>CONCATENATE("INSERT INTO system_parameters.business_fields(
        table_id, field_name, field_type, description, is_foreign_key, referenced_table_id, referenced_field_id)
        SELECT a.table_id, '",SUBSTITUTE(C5, " ", "_"),"','",D5,"', '",B5,"', true, b.table_id, c.field_id FROM system_parameters.business_tables a, system_parameters.business_tables b, system_parameters.business_fields c WHERE a.table_name='order' and b.table_name='user' and b.table_id=c.table_id and c.is_primary_key=true;")</f>
        <v>INSERT INTO system_parameters.business_fields(
        table_id, field_name, field_type, description, is_foreign_key, referenced_table_id, referenced_field_id)
        SELECT a.table_id, 'user_id','SERIAL', 'Tên Follower', true, b.table_id, c.field_id FROM system_parameters.business_tables a, system_parameters.business_tables b, system_parameters.business_fields c WHERE a.table_name='order' and b.table_name='user' and b.table_id=c.table_id and c.is_primary_key=true;</v>
      </c>
    </row>
    <row r="6">
      <c r="A6" s="14">
        <f t="shared" si="1"/>
        <v>4</v>
      </c>
      <c r="B6" s="15" t="s">
        <v>238</v>
      </c>
      <c r="C6" s="15" t="s">
        <v>67</v>
      </c>
      <c r="D6" s="15" t="s">
        <v>51</v>
      </c>
      <c r="E6" s="10" t="str">
        <f>CONCATENATE("INSERT INTO system_parameters.business_fields(
        table_id, field_name, field_type, description, is_foreign_key, referenced_table_id, referenced_field_id)
        SELECT a.table_id, '",SUBSTITUTE(C6, " ", "_"),"','",D6,"', '",B6,"', true, b.table_id, c.field_id FROM system_parameters.business_tables a, system_parameters.business_tables b, system_parameters.business_fields c WHERE a.table_name='order' and b.table_name='stock' and b.table_id=c.table_id and c.is_primary_key=true;")</f>
        <v>INSERT INTO system_parameters.business_fields(
        table_id, field_name, field_type, description, is_foreign_key, referenced_table_id, referenced_field_id)
        SELECT a.table_id, 'stock_id','SERIAL', 'Tên chứng khoán', true, b.table_id, c.field_id FROM system_parameters.business_tables a, system_parameters.business_tables b, system_parameters.business_fields c WHERE a.table_name='order' and b.table_name='stock' and b.table_id=c.table_id and c.is_primary_key=true;</v>
      </c>
    </row>
    <row r="7">
      <c r="A7" s="14">
        <f t="shared" si="1"/>
        <v>5</v>
      </c>
      <c r="B7" s="15" t="s">
        <v>523</v>
      </c>
      <c r="C7" s="15" t="s">
        <v>524</v>
      </c>
      <c r="D7" s="15" t="s">
        <v>205</v>
      </c>
      <c r="E7" s="10" t="str">
        <f t="shared" ref="E7:E10" si="2">CONCATENATE("INSERT INTO system_parameters.business_fields(
        table_id, field_name, field_type, description)
        SELECT table_id, '",SUBSTITUTE(C7, " ", "_"),"','",D7,"', '",B7,"' FROM system_parameters.business_tables WHERE table_name='order' ;")</f>
        <v>INSERT INTO system_parameters.business_fields(
        table_id, field_name, field_type, description)
        SELECT table_id, 'order_price','NUMERIC(10, 2)', 'Giá đặt lệnh.' FROM system_parameters.business_tables WHERE table_name='order' ;</v>
      </c>
    </row>
    <row r="8">
      <c r="A8" s="14">
        <f t="shared" si="1"/>
        <v>6</v>
      </c>
      <c r="B8" s="15" t="s">
        <v>525</v>
      </c>
      <c r="C8" s="15" t="s">
        <v>526</v>
      </c>
      <c r="D8" s="15" t="s">
        <v>106</v>
      </c>
      <c r="E8" s="10" t="str">
        <f t="shared" si="2"/>
        <v>INSERT INTO system_parameters.business_fields(
        table_id, field_name, field_type, description)
        SELECT table_id, 'order_volume','INT', 'Khối lượng đặt lệnh.' FROM system_parameters.business_tables WHERE table_name='order' ;</v>
      </c>
    </row>
    <row r="9">
      <c r="A9" s="14">
        <f t="shared" si="1"/>
        <v>7</v>
      </c>
      <c r="B9" s="15" t="s">
        <v>527</v>
      </c>
      <c r="C9" s="15" t="s">
        <v>118</v>
      </c>
      <c r="D9" s="15" t="s">
        <v>119</v>
      </c>
      <c r="E9" s="10" t="str">
        <f t="shared" si="2"/>
        <v>INSERT INTO system_parameters.business_fields(
        table_id, field_name, field_type, description)
        SELECT table_id, 'created_at','TIMESTAMP', 'Thời điểm tạo lệnh.' FROM system_parameters.business_tables WHERE table_name='order' ;</v>
      </c>
    </row>
    <row r="10">
      <c r="A10" s="14">
        <f t="shared" si="1"/>
        <v>8</v>
      </c>
      <c r="B10" s="15" t="s">
        <v>528</v>
      </c>
      <c r="C10" s="15" t="s">
        <v>105</v>
      </c>
      <c r="D10" s="15" t="s">
        <v>86</v>
      </c>
      <c r="E10" s="10" t="str">
        <f t="shared" si="2"/>
        <v>INSERT INTO system_parameters.business_fields(
        table_id, field_name, field_type, description)
        SELECT table_id, 'status','VARCHAR(20)', 'Trạng thái lệnh (VD: Pending, Matched, Cancelled).' FROM system_parameters.business_tables WHERE table_name='order' ;</v>
      </c>
    </row>
    <row r="11">
      <c r="A11" s="14">
        <f t="shared" si="1"/>
        <v>9</v>
      </c>
      <c r="B11" s="15" t="s">
        <v>529</v>
      </c>
      <c r="C11" s="15" t="s">
        <v>501</v>
      </c>
      <c r="D11" s="15" t="s">
        <v>51</v>
      </c>
      <c r="E11" s="10" t="str">
        <f>CONCATENATE("INSERT INTO system_parameters.business_fields(
        table_id, field_name, field_type, description, is_foreign_key, referenced_table_id, referenced_field_id)
        SELECT a.table_id, '",SUBSTITUTE(C11, " ", "_"),"','",D11,"', '",B11,"', true, b.table_id, c.field_id FROM system_parameters.business_tables a, system_parameters.business_tables b, system_parameters.business_fields c WHERE a.table_name='order' and b.table_name='trade_signal' and b.table_id=c.table_id and c.is_primary_key=tr"&amp;"ue;")</f>
        <v>INSERT INTO system_parameters.business_fields(
        table_id, field_name, field_type, description, is_foreign_key, referenced_table_id, referenced_field_id)
        SELECT a.table_id, 'trade_signal_id','SERIAL', 'Tên tín hiệu', true, b.table_id, c.field_id FROM system_parameters.business_tables a, system_parameters.business_tables b, system_parameters.business_fields c WHERE a.table_name='order' and b.table_name='trade_signal' and b.table_id=c.table_id and c.is_primary_key=true;</v>
      </c>
    </row>
    <row r="12">
      <c r="A12" s="6">
        <v>10.0</v>
      </c>
      <c r="B12" s="6" t="s">
        <v>265</v>
      </c>
      <c r="C12" s="6" t="s">
        <v>181</v>
      </c>
      <c r="D12" s="15" t="s">
        <v>51</v>
      </c>
      <c r="E12" s="10" t="str">
        <f>CONCATENATE("INSERT INTO system_parameters.business_fields(
        table_id, field_name, field_type, description, is_foreign_key, referenced_table_id, referenced_field_id)
        SELECT a.table_id, '",SUBSTITUTE(C12, " ", "_"),"','",D12,"', '",B12,"', true, b.table_id, c.field_id FROM system_parameters.business_tables a, system_parameters.business_tables b, system_parameters.business_fields c WHERE a.table_name='order' and b.table_name='subscription' and b.table_id=c.table_id and c.is_primary_key=tr"&amp;"ue;")</f>
        <v>INSERT INTO system_parameters.business_fields(
        table_id, field_name, field_type, description, is_foreign_key, referenced_table_id, referenced_field_id)
        SELECT a.table_id, 'subscription_id','SERIAL', 'Tên gói dịch vụ', true, b.table_id, c.field_id FROM system_parameters.business_tables a, system_parameters.business_tables b, system_parameters.business_fields c WHERE a.table_name='order' and b.table_name='subscription' and b.table_id=c.table_id and c.is_primary_key=true;</v>
      </c>
    </row>
    <row r="13">
      <c r="A13" s="6">
        <v>11.0</v>
      </c>
      <c r="B13" s="6" t="s">
        <v>530</v>
      </c>
      <c r="C13" s="15" t="s">
        <v>531</v>
      </c>
      <c r="D13" s="15" t="s">
        <v>205</v>
      </c>
      <c r="E13" s="10" t="str">
        <f>CONCATENATE("INSERT INTO system_parameters.business_fields(
        table_id, field_name, field_type, description)
        SELECT table_id, '",SUBSTITUTE(C13, " ", "_"),"','",D13,"', '",B13,"' FROM system_parameters.business_tables WHERE table_name='order' ;")</f>
        <v>INSERT INTO system_parameters.business_fields(
        table_id, field_name, field_type, description)
        SELECT table_id, 'trade_fee','NUMERIC(10, 2)', 'Phí giao dịch ' FROM system_parameters.business_tables WHERE table_name='order' ;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23.5"/>
    <col customWidth="1" min="3" max="3" width="20.25"/>
    <col customWidth="1" min="4" max="4" width="25.13"/>
    <col customWidth="1" min="5" max="5" width="47.38"/>
  </cols>
  <sheetData>
    <row r="1">
      <c r="A1" s="11" t="s">
        <v>0</v>
      </c>
      <c r="B1" s="11" t="s">
        <v>45</v>
      </c>
      <c r="C1" s="12" t="s">
        <v>46</v>
      </c>
      <c r="D1" s="12" t="s">
        <v>47</v>
      </c>
      <c r="E1" s="13" t="s">
        <v>48</v>
      </c>
    </row>
    <row r="2">
      <c r="A2" s="14"/>
      <c r="B2" s="15"/>
      <c r="C2" s="15"/>
      <c r="D2" s="15"/>
      <c r="E2" s="16" t="s">
        <v>532</v>
      </c>
    </row>
    <row r="3">
      <c r="A3" s="14">
        <v>1.0</v>
      </c>
      <c r="B3" s="15" t="s">
        <v>533</v>
      </c>
      <c r="C3" s="15" t="s">
        <v>534</v>
      </c>
      <c r="D3" s="15" t="s">
        <v>51</v>
      </c>
      <c r="E3" s="16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table_name='follower_fee' ;")</f>
        <v>INSERT INTO system_parameters.business_fields(
        table_id, field_name, field_type, description, is_primary_key)
        SELECT table_id, 'fee_id','SERIAL', 'ID của phí', true FROM system_parameters.business_tables WHERE table_name='follower_fee' ;</v>
      </c>
    </row>
    <row r="4">
      <c r="A4" s="14">
        <f t="shared" ref="A4:A9" si="1">A3+1</f>
        <v>2</v>
      </c>
      <c r="B4" s="15" t="s">
        <v>535</v>
      </c>
      <c r="C4" s="15" t="s">
        <v>168</v>
      </c>
      <c r="D4" s="15" t="s">
        <v>536</v>
      </c>
      <c r="E4" s="10" t="str">
        <f>CONCATENATE("INSERT INTO system_parameters.business_fields(
        table_id, field_name, field_type, description)
        SELECT table_id, '",SUBSTITUTE(C4, " ", "_"),"','",D4,"', '",B4,"' FROM system_parameters.business_tables WHERE table_name='follower_fee' ;")</f>
        <v>INSERT INTO system_parameters.business_fields(
        table_id, field_name, field_type, description)
        SELECT table_id, 'monthly_fee','NUMERIC(15, 2) DEFAULT 0.00', 'Tổng phí khai thác hàng tháng' FROM system_parameters.business_tables WHERE table_name='follower_fee' ;</v>
      </c>
    </row>
    <row r="5">
      <c r="A5" s="14">
        <f t="shared" si="1"/>
        <v>3</v>
      </c>
      <c r="B5" s="15" t="s">
        <v>189</v>
      </c>
      <c r="C5" s="15" t="s">
        <v>83</v>
      </c>
      <c r="D5" s="15" t="s">
        <v>51</v>
      </c>
      <c r="E5" s="10" t="str">
        <f>CONCATENATE("INSERT INTO system_parameters.business_fields(
        table_id, field_name, field_type, description, is_foreign_key, referenced_table_id, referenced_field_id)
        SELECT a.table_id, '",SUBSTITUTE(C5, " ", "_"),"','",D5,"', '",B5,"', true, b.table_id, c.field_id FROM system_parameters.business_tables a, system_parameters.business_tables b, system_parameters.business_fields c WHERE a.table_name='follower_fee' and b.table_name='user' and b.table_id=c.table_id and c.is_primary_key=tru"&amp;"e;")</f>
        <v>INSERT INTO system_parameters.business_fields(
        table_id, field_name, field_type, description, is_foreign_key, referenced_table_id, referenced_field_id)
        SELECT a.table_id, 'user_id','SERIAL', 'Tên Follower', true, b.table_id, c.field_id FROM system_parameters.business_tables a, system_parameters.business_tables b, system_parameters.business_fields c WHERE a.table_name='follower_fee' and b.table_name='user' and b.table_id=c.table_id and c.is_primary_key=true;</v>
      </c>
    </row>
    <row r="6">
      <c r="A6" s="14">
        <f t="shared" si="1"/>
        <v>4</v>
      </c>
      <c r="B6" s="15" t="s">
        <v>537</v>
      </c>
      <c r="C6" s="15" t="s">
        <v>270</v>
      </c>
      <c r="D6" s="15" t="s">
        <v>536</v>
      </c>
      <c r="E6" s="10" t="str">
        <f t="shared" ref="E6:E7" si="2">CONCATENATE("INSERT INTO system_parameters.business_fields(
        table_id, field_name, field_type, description)
        SELECT table_id, '",SUBSTITUTE(C6, " ", "_"),"','",D6,"', '",B6,"' FROM system_parameters.business_tables WHERE table_name='follower_fee' ;")</f>
        <v>INSERT INTO system_parameters.business_fields(
        table_id, field_name, field_type, description)
        SELECT table_id, 'query_fee','NUMERIC(15, 2) DEFAULT 0.00', 'Tổng phí truy vấn dữ liệu' FROM system_parameters.business_tables WHERE table_name='follower_fee' ;</v>
      </c>
    </row>
    <row r="7">
      <c r="A7" s="14">
        <f t="shared" si="1"/>
        <v>5</v>
      </c>
      <c r="B7" s="15" t="s">
        <v>538</v>
      </c>
      <c r="C7" s="15" t="s">
        <v>539</v>
      </c>
      <c r="D7" s="15" t="s">
        <v>175</v>
      </c>
      <c r="E7" s="10" t="str">
        <f t="shared" si="2"/>
        <v>INSERT INTO system_parameters.business_fields(
        table_id, field_name, field_type, description)
        SELECT table_id, 'calculated_at','TIMESTAMP DEFAULT NOW()', 'Ngày ghi nhận phí' FROM system_parameters.business_tables WHERE table_name='follower_fee' ;</v>
      </c>
    </row>
    <row r="8">
      <c r="A8" s="14">
        <f t="shared" si="1"/>
        <v>6</v>
      </c>
      <c r="B8" s="6" t="s">
        <v>265</v>
      </c>
      <c r="C8" s="6" t="s">
        <v>181</v>
      </c>
      <c r="D8" s="15" t="s">
        <v>51</v>
      </c>
      <c r="E8" s="10" t="str">
        <f>CONCATENATE("INSERT INTO system_parameters.business_fields(
        table_id, field_name, field_type, description, is_foreign_key, referenced_table_id, referenced_field_id)
        SELECT a.table_id, '",SUBSTITUTE(C8, " ", "_"),"','",D8,"', '",B8,"', true, b.table_id, c.field_id FROM system_parameters.business_tables a, system_parameters.business_tables b, system_parameters.business_fields c WHERE a.table_name='follower_fee' and b.table_name='subscription' and b.table_id=c.table_id and c.is_primary"&amp;"_key=true;")</f>
        <v>INSERT INTO system_parameters.business_fields(
        table_id, field_name, field_type, description, is_foreign_key, referenced_table_id, referenced_field_id)
        SELECT a.table_id, 'subscription_id','SERIAL', 'Tên gói dịch vụ', true, b.table_id, c.field_id FROM system_parameters.business_tables a, system_parameters.business_tables b, system_parameters.business_fields c WHERE a.table_name='follower_fee' and b.table_name='subscription' and b.table_id=c.table_id and c.is_primary_key=true;</v>
      </c>
    </row>
    <row r="9">
      <c r="A9" s="14">
        <f t="shared" si="1"/>
        <v>7</v>
      </c>
      <c r="B9" s="15" t="s">
        <v>540</v>
      </c>
      <c r="C9" s="15" t="s">
        <v>531</v>
      </c>
      <c r="D9" s="15" t="s">
        <v>536</v>
      </c>
      <c r="E9" s="10" t="str">
        <f>CONCATENATE("INSERT INTO system_parameters.business_fields(
        table_id, field_name, field_type, description)
        SELECT table_id, '",SUBSTITUTE(C9, " ", "_"),"','",D9,"', '",B9,"' FROM system_parameters.business_tables WHERE table_name='follower_fee' ;")</f>
        <v>INSERT INTO system_parameters.business_fields(
        table_id, field_name, field_type, description)
        SELECT table_id, 'trade_fee','NUMERIC(15, 2) DEFAULT 0.00', 'Tổng phí giao dịch' FROM system_parameters.business_tables WHERE table_name='follower_fee' ;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23.5"/>
    <col customWidth="1" min="3" max="3" width="12.13"/>
    <col customWidth="1" min="4" max="4" width="25.13"/>
    <col customWidth="1" min="5" max="5" width="52.13"/>
  </cols>
  <sheetData>
    <row r="1">
      <c r="A1" s="11" t="s">
        <v>0</v>
      </c>
      <c r="B1" s="11" t="s">
        <v>45</v>
      </c>
      <c r="C1" s="12" t="s">
        <v>46</v>
      </c>
      <c r="D1" s="12" t="s">
        <v>47</v>
      </c>
      <c r="E1" s="13" t="s">
        <v>48</v>
      </c>
    </row>
    <row r="2">
      <c r="A2" s="14"/>
      <c r="B2" s="15"/>
      <c r="C2" s="15"/>
      <c r="D2" s="15"/>
      <c r="E2" s="16" t="s">
        <v>541</v>
      </c>
    </row>
    <row r="3">
      <c r="A3" s="14">
        <v>1.0</v>
      </c>
      <c r="B3" s="15" t="s">
        <v>533</v>
      </c>
      <c r="C3" s="15" t="s">
        <v>534</v>
      </c>
      <c r="D3" s="15" t="s">
        <v>51</v>
      </c>
      <c r="E3" s="16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table_name='leader_fee' ;")</f>
        <v>INSERT INTO system_parameters.business_fields(
        table_id, field_name, field_type, description, is_primary_key)
        SELECT table_id, 'fee_id','SERIAL', 'ID của phí', true FROM system_parameters.business_tables WHERE table_name='leader_fee' ;</v>
      </c>
    </row>
    <row r="4">
      <c r="A4" s="14">
        <f t="shared" ref="A4:A9" si="1">A3+1</f>
        <v>2</v>
      </c>
      <c r="B4" s="15" t="s">
        <v>535</v>
      </c>
      <c r="C4" s="15" t="s">
        <v>168</v>
      </c>
      <c r="D4" s="15" t="s">
        <v>536</v>
      </c>
      <c r="E4" s="10" t="str">
        <f>CONCATENATE("INSERT INTO system_parameters.business_fields(
        table_id, field_name, field_type, description)
        SELECT table_id, '",SUBSTITUTE(C4, " ", "_"),"','",D4,"', '",B4,"' FROM system_parameters.business_tables WHERE table_name='leader_fee' ;")</f>
        <v>INSERT INTO system_parameters.business_fields(
        table_id, field_name, field_type, description)
        SELECT table_id, 'monthly_fee','NUMERIC(15, 2) DEFAULT 0.00', 'Tổng phí khai thác hàng tháng' FROM system_parameters.business_tables WHERE table_name='leader_fee' ;</v>
      </c>
    </row>
    <row r="5">
      <c r="A5" s="14">
        <f t="shared" si="1"/>
        <v>3</v>
      </c>
      <c r="B5" s="15" t="s">
        <v>176</v>
      </c>
      <c r="C5" s="15" t="s">
        <v>83</v>
      </c>
      <c r="D5" s="15" t="s">
        <v>51</v>
      </c>
      <c r="E5" s="10" t="str">
        <f>CONCATENATE("INSERT INTO system_parameters.business_fields(
        table_id, field_name, field_type, description, is_foreign_key, referenced_table_id, referenced_field_id)
        SELECT a.table_id, '",SUBSTITUTE(C5, " ", "_"),"','",D5,"', '",B5,"', true, b.table_id, c.field_id FROM system_parameters.business_tables a, system_parameters.business_tables b, system_parameters.business_fields c WHERE a.table_name='leader_fee' and b.table_name='user' and b.table_id=c.table_id and c.is_primary_key=true;")</f>
        <v>INSERT INTO system_parameters.business_fields(
        table_id, field_name, field_type, description, is_foreign_key, referenced_table_id, referenced_field_id)
        SELECT a.table_id, 'user_id','SERIAL', 'Tên Leader', true, b.table_id, c.field_id FROM system_parameters.business_tables a, system_parameters.business_tables b, system_parameters.business_fields c WHERE a.table_name='leader_fee' and b.table_name='user' and b.table_id=c.table_id and c.is_primary_key=true;</v>
      </c>
    </row>
    <row r="6">
      <c r="A6" s="14">
        <f t="shared" si="1"/>
        <v>4</v>
      </c>
      <c r="B6" s="15" t="s">
        <v>537</v>
      </c>
      <c r="C6" s="15" t="s">
        <v>270</v>
      </c>
      <c r="D6" s="15" t="s">
        <v>536</v>
      </c>
      <c r="E6" s="10" t="str">
        <f t="shared" ref="E6:E7" si="2">CONCATENATE("INSERT INTO system_parameters.business_fields(
        table_id, field_name, field_type, description)
        SELECT table_id, '",SUBSTITUTE(C6, " ", "_"),"','",D6,"', '",B6,"' FROM system_parameters.business_tables WHERE table_name='leader_fee' ;")</f>
        <v>INSERT INTO system_parameters.business_fields(
        table_id, field_name, field_type, description)
        SELECT table_id, 'query_fee','NUMERIC(15, 2) DEFAULT 0.00', 'Tổng phí truy vấn dữ liệu' FROM system_parameters.business_tables WHERE table_name='leader_fee' ;</v>
      </c>
    </row>
    <row r="7">
      <c r="A7" s="14">
        <f t="shared" si="1"/>
        <v>5</v>
      </c>
      <c r="B7" s="15" t="s">
        <v>538</v>
      </c>
      <c r="C7" s="15" t="s">
        <v>539</v>
      </c>
      <c r="D7" s="15" t="s">
        <v>175</v>
      </c>
      <c r="E7" s="10" t="str">
        <f t="shared" si="2"/>
        <v>INSERT INTO system_parameters.business_fields(
        table_id, field_name, field_type, description)
        SELECT table_id, 'calculated_at','TIMESTAMP DEFAULT NOW()', 'Ngày ghi nhận phí' FROM system_parameters.business_tables WHERE table_name='leader_fee' ;</v>
      </c>
    </row>
    <row r="8">
      <c r="A8" s="14">
        <f t="shared" si="1"/>
        <v>6</v>
      </c>
      <c r="B8" s="6" t="s">
        <v>265</v>
      </c>
      <c r="C8" s="6" t="s">
        <v>181</v>
      </c>
      <c r="D8" s="15" t="s">
        <v>51</v>
      </c>
      <c r="E8" s="10" t="str">
        <f>CONCATENATE("INSERT INTO system_parameters.business_fields(
        table_id, field_name, field_type, description, is_foreign_key, referenced_table_id, referenced_field_id)
        SELECT a.table_id, '",SUBSTITUTE(C8, " ", "_"),"','",D8,"', '",B8,"', true, b.table_id, c.field_id FROM system_parameters.business_tables a, system_parameters.business_tables b, system_parameters.business_fields c WHERE a.table_name='leader_fee' and b.table_name='subscription' and b.table_id=c.table_id and c.is_primary_k"&amp;"ey=true;")</f>
        <v>INSERT INTO system_parameters.business_fields(
        table_id, field_name, field_type, description, is_foreign_key, referenced_table_id, referenced_field_id)
        SELECT a.table_id, 'subscription_id','SERIAL', 'Tên gói dịch vụ', true, b.table_id, c.field_id FROM system_parameters.business_tables a, system_parameters.business_tables b, system_parameters.business_fields c WHERE a.table_name='leader_fee' and b.table_name='subscription' and b.table_id=c.table_id and c.is_primary_key=true;</v>
      </c>
    </row>
    <row r="9">
      <c r="A9" s="14">
        <f t="shared" si="1"/>
        <v>7</v>
      </c>
      <c r="B9" s="15" t="s">
        <v>542</v>
      </c>
      <c r="C9" s="15" t="s">
        <v>531</v>
      </c>
      <c r="D9" s="15" t="s">
        <v>536</v>
      </c>
      <c r="E9" s="10" t="str">
        <f>CONCATENATE("INSERT INTO system_parameters.business_fields(
        table_id, field_name, field_type, description)
        SELECT table_id, '",SUBSTITUTE(C9, " ", "_"),"','",D9,"', '",B9,"' FROM system_parameters.business_tables WHERE table_name='leader_fee' ;")</f>
        <v>INSERT INTO system_parameters.business_fields(
        table_id, field_name, field_type, description)
        SELECT table_id, 'trade_fee','NUMERIC(15, 2) DEFAULT 0.00', 'Tổng giao dịch' FROM system_parameters.business_tables WHERE table_name='leader_fee' ;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47.5"/>
    <col customWidth="1" min="3" max="3" width="16.13"/>
    <col customWidth="1" min="4" max="4" width="12.88"/>
    <col customWidth="1" min="5" max="5" width="47.25"/>
  </cols>
  <sheetData>
    <row r="1">
      <c r="A1" s="11" t="s">
        <v>0</v>
      </c>
      <c r="B1" s="11" t="s">
        <v>45</v>
      </c>
      <c r="C1" s="12" t="s">
        <v>46</v>
      </c>
      <c r="D1" s="12" t="s">
        <v>47</v>
      </c>
      <c r="E1" s="13" t="s">
        <v>48</v>
      </c>
    </row>
    <row r="2">
      <c r="A2" s="14"/>
      <c r="B2" s="15"/>
      <c r="C2" s="15"/>
      <c r="D2" s="15"/>
      <c r="E2" s="16" t="s">
        <v>543</v>
      </c>
    </row>
    <row r="3">
      <c r="A3" s="14">
        <v>1.0</v>
      </c>
      <c r="B3" s="15" t="s">
        <v>544</v>
      </c>
      <c r="C3" s="15" t="s">
        <v>545</v>
      </c>
      <c r="D3" s="15" t="s">
        <v>51</v>
      </c>
      <c r="E3" s="16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table_name='payment_method' ;")</f>
        <v>INSERT INTO system_parameters.business_fields(
        table_id, field_name, field_type, description, is_primary_key)
        SELECT table_id, 'payment_method_id','SERIAL', 'ID duy nhất của phương thức thanh toán.', true FROM system_parameters.business_tables WHERE table_name='payment_method' ;</v>
      </c>
    </row>
    <row r="4">
      <c r="A4" s="14">
        <f t="shared" ref="A4:A9" si="1">A3+1</f>
        <v>2</v>
      </c>
      <c r="B4" s="15" t="s">
        <v>546</v>
      </c>
      <c r="C4" s="15" t="s">
        <v>155</v>
      </c>
      <c r="D4" s="15" t="s">
        <v>65</v>
      </c>
      <c r="E4" s="10" t="str">
        <f t="shared" ref="E4:E9" si="2">CONCATENATE("INSERT INTO system_parameters.business_fields(
        table_id, field_name, field_type, description)
        SELECT table_id, '",SUBSTITUTE(C4, " ", "_"),"','",D4,"', '",B4,"' FROM system_parameters.business_tables WHERE table_name='payment_method' ;")</f>
        <v>INSERT INTO system_parameters.business_fields(
        table_id, field_name, field_type, description)
        SELECT table_id, 'name','VARCHAR(100)', 'Tên phương thức (VD: Visa, MasterCard, PayPal, Ngân hàng).' FROM system_parameters.business_tables WHERE table_name='payment_method' ;</v>
      </c>
    </row>
    <row r="5">
      <c r="A5" s="14">
        <f t="shared" si="1"/>
        <v>3</v>
      </c>
      <c r="B5" s="15" t="s">
        <v>547</v>
      </c>
      <c r="C5" s="15" t="s">
        <v>126</v>
      </c>
      <c r="D5" s="15" t="s">
        <v>81</v>
      </c>
      <c r="E5" s="10" t="str">
        <f t="shared" si="2"/>
        <v>INSERT INTO system_parameters.business_fields(
        table_id, field_name, field_type, description)
        SELECT table_id, 'type','VARCHAR(50)', 'Loại phương thức (VD: Credit Card, E-Wallet, Bank Transfer).' FROM system_parameters.business_tables WHERE table_name='payment_method' ;</v>
      </c>
    </row>
    <row r="6">
      <c r="A6" s="14">
        <f t="shared" si="1"/>
        <v>4</v>
      </c>
      <c r="B6" s="15" t="s">
        <v>548</v>
      </c>
      <c r="C6" s="15" t="s">
        <v>157</v>
      </c>
      <c r="D6" s="15" t="s">
        <v>89</v>
      </c>
      <c r="E6" s="10" t="str">
        <f t="shared" si="2"/>
        <v>INSERT INTO system_parameters.business_fields(
        table_id, field_name, field_type, description)
        SELECT table_id, 'description','TEXT', 'Mô tả chi tiết phương thức.' FROM system_parameters.business_tables WHERE table_name='payment_method' ;</v>
      </c>
    </row>
    <row r="7">
      <c r="A7" s="14">
        <f t="shared" si="1"/>
        <v>5</v>
      </c>
      <c r="B7" s="15" t="s">
        <v>549</v>
      </c>
      <c r="C7" s="15" t="s">
        <v>105</v>
      </c>
      <c r="D7" s="15" t="s">
        <v>81</v>
      </c>
      <c r="E7" s="10" t="str">
        <f t="shared" si="2"/>
        <v>INSERT INTO system_parameters.business_fields(
        table_id, field_name, field_type, description)
        SELECT table_id, 'status','VARCHAR(50)', 'Trạng thái (VD: Active, Inactive).' FROM system_parameters.business_tables WHERE table_name='payment_method' ;</v>
      </c>
    </row>
    <row r="8">
      <c r="A8" s="14">
        <f t="shared" si="1"/>
        <v>6</v>
      </c>
      <c r="B8" s="15" t="s">
        <v>550</v>
      </c>
      <c r="C8" s="15" t="s">
        <v>118</v>
      </c>
      <c r="D8" s="15" t="s">
        <v>119</v>
      </c>
      <c r="E8" s="10" t="str">
        <f t="shared" si="2"/>
        <v>INSERT INTO system_parameters.business_fields(
        table_id, field_name, field_type, description)
        SELECT table_id, 'created_at','TIMESTAMP', 'Thời gian tạo.' FROM system_parameters.business_tables WHERE table_name='payment_method' ;</v>
      </c>
    </row>
    <row r="9">
      <c r="A9" s="14">
        <f t="shared" si="1"/>
        <v>7</v>
      </c>
      <c r="B9" s="15" t="s">
        <v>551</v>
      </c>
      <c r="C9" s="15" t="s">
        <v>161</v>
      </c>
      <c r="D9" s="15" t="s">
        <v>119</v>
      </c>
      <c r="E9" s="10" t="str">
        <f t="shared" si="2"/>
        <v>INSERT INTO system_parameters.business_fields(
        table_id, field_name, field_type, description)
        SELECT table_id, 'updated_at','TIMESTAMP', 'Thời gian cập nhật.' FROM system_parameters.business_tables WHERE table_name='payment_method' ;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34.0"/>
    <col customWidth="1" min="3" max="3" width="16.13"/>
    <col customWidth="1" min="4" max="4" width="10.38"/>
    <col customWidth="1" min="5" max="5" width="57.13"/>
  </cols>
  <sheetData>
    <row r="1">
      <c r="A1" s="11" t="s">
        <v>0</v>
      </c>
      <c r="B1" s="11" t="s">
        <v>45</v>
      </c>
      <c r="C1" s="12" t="s">
        <v>46</v>
      </c>
      <c r="D1" s="12" t="s">
        <v>47</v>
      </c>
      <c r="E1" s="13" t="s">
        <v>48</v>
      </c>
    </row>
    <row r="2">
      <c r="A2" s="14"/>
      <c r="B2" s="15"/>
      <c r="C2" s="15"/>
      <c r="D2" s="15"/>
      <c r="E2" s="16" t="s">
        <v>552</v>
      </c>
    </row>
    <row r="3">
      <c r="A3" s="14">
        <v>1.0</v>
      </c>
      <c r="B3" s="15" t="s">
        <v>553</v>
      </c>
      <c r="C3" s="15" t="s">
        <v>554</v>
      </c>
      <c r="D3" s="15" t="s">
        <v>51</v>
      </c>
      <c r="E3" s="16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table_name='user_payment_method' ;")</f>
        <v>INSERT INTO system_parameters.business_fields(
        table_id, field_name, field_type, description, is_primary_key)
        SELECT table_id, 'user_payment_id','SERIAL', 'ID phương thức thanh toán của người dùng', true FROM system_parameters.business_tables WHERE table_name='user_payment_method' ;</v>
      </c>
    </row>
    <row r="4">
      <c r="A4" s="14">
        <f t="shared" ref="A4:A7" si="1">A3+1</f>
        <v>2</v>
      </c>
      <c r="B4" s="15" t="s">
        <v>555</v>
      </c>
      <c r="C4" s="15" t="s">
        <v>556</v>
      </c>
      <c r="D4" s="15" t="s">
        <v>124</v>
      </c>
      <c r="E4" s="10" t="str">
        <f>CONCATENATE("INSERT INTO system_parameters.business_fields(
        table_id, field_name, field_type, description)
        SELECT table_id, '",SUBSTITUTE(C4, " ", "_"),"','",D4,"', '",B4,"' FROM system_parameters.business_tables WHERE table_name='user_payment_method' ;")</f>
        <v>INSERT INTO system_parameters.business_fields(
        table_id, field_name, field_type, description)
        SELECT table_id, 'details','JSONB', 'Thông tin chi tiết phương thức thanh toán' FROM system_parameters.business_tables WHERE table_name='user_payment_method' ;</v>
      </c>
    </row>
    <row r="5">
      <c r="A5" s="14">
        <f t="shared" si="1"/>
        <v>3</v>
      </c>
      <c r="B5" s="15" t="s">
        <v>111</v>
      </c>
      <c r="C5" s="15" t="s">
        <v>83</v>
      </c>
      <c r="D5" s="15" t="s">
        <v>51</v>
      </c>
      <c r="E5" s="10" t="str">
        <f>CONCATENATE("INSERT INTO system_parameters.business_fields(
        table_id, field_name, field_type, description, is_foreign_key, referenced_table_id, referenced_field_id)
        SELECT a.table_id, '",SUBSTITUTE(C5, " ", "_"),"','",D5,"', '",B5,"', true, b.table_id, c.field_id FROM system_parameters.business_tables a, system_parameters.business_tables b, system_parameters.business_fields c WHERE a.table_name='user_payment_method' and b.table_name='user' and b.table_id=c.table_id and c.is_primary_"&amp;"key=true;")</f>
        <v>INSERT INTO system_parameters.business_fields(
        table_id, field_name, field_type, description, is_foreign_key, referenced_table_id, referenced_field_id)
        SELECT a.table_id, 'user_id','SERIAL', 'Tên Leader/Follower', true, b.table_id, c.field_id FROM system_parameters.business_tables a, system_parameters.business_tables b, system_parameters.business_fields c WHERE a.table_name='user_payment_method' and b.table_name='user' and b.table_id=c.table_id and c.is_primary_key=true;</v>
      </c>
    </row>
    <row r="6">
      <c r="A6" s="14">
        <f t="shared" si="1"/>
        <v>4</v>
      </c>
      <c r="B6" s="15" t="s">
        <v>557</v>
      </c>
      <c r="C6" s="15" t="s">
        <v>545</v>
      </c>
      <c r="D6" s="15" t="s">
        <v>51</v>
      </c>
      <c r="E6" s="10" t="str">
        <f>CONCATENATE("INSERT INTO system_parameters.business_fields(
        table_id, field_name, field_type, description, is_foreign_key, referenced_table_id, referenced_field_id)
        SELECT a.table_id, '",SUBSTITUTE(C6, " ", "_"),"','",D6,"', '",B6,"', true, b.table_id, c.field_id FROM system_parameters.business_tables a, system_parameters.business_tables b, system_parameters.business_fields c WHERE a.table_name='user_payment_method' and b.table_name='payment_method' and b.table_id=c.table_id and c.i"&amp;"s_primary_key=true;")</f>
        <v>INSERT INTO system_parameters.business_fields(
        table_id, field_name, field_type, description, is_foreign_key, referenced_table_id, referenced_field_id)
        SELECT a.table_id, 'payment_method_id','SERIAL', 'Tên phương thức thanh toán', true, b.table_id, c.field_id FROM system_parameters.business_tables a, system_parameters.business_tables b, system_parameters.business_fields c WHERE a.table_name='user_payment_method' and b.table_name='payment_method' and b.table_id=c.table_id and c.is_primary_key=true;</v>
      </c>
    </row>
    <row r="7">
      <c r="A7" s="14">
        <f t="shared" si="1"/>
        <v>5</v>
      </c>
      <c r="B7" s="15" t="s">
        <v>558</v>
      </c>
      <c r="C7" s="15" t="s">
        <v>559</v>
      </c>
      <c r="D7" s="15" t="s">
        <v>325</v>
      </c>
      <c r="E7" s="10" t="str">
        <f>CONCATENATE("INSERT INTO system_parameters.business_fields(
        table_id, field_name, field_type, description)
        SELECT table_id, '",SUBSTITUTE(C7, " ", "_"),"','",D7,"', '",B7,"' FROM system_parameters.business_tables WHERE table_name='user_payment_method' ;")</f>
        <v>INSERT INTO system_parameters.business_fields(
        table_id, field_name, field_type, description)
        SELECT table_id, 'is_default','BOOLEAN', 'Đánh dấu phương thức thanh toán mặc định' FROM system_parameters.business_tables WHERE table_name='user_payment_method' ;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40.13"/>
    <col customWidth="1" min="3" max="3" width="22.75"/>
    <col customWidth="1" min="4" max="4" width="13.25"/>
    <col customWidth="1" min="5" max="5" width="47.38"/>
  </cols>
  <sheetData>
    <row r="1">
      <c r="A1" s="11" t="s">
        <v>0</v>
      </c>
      <c r="B1" s="11" t="s">
        <v>45</v>
      </c>
      <c r="C1" s="12" t="s">
        <v>46</v>
      </c>
      <c r="D1" s="12" t="s">
        <v>47</v>
      </c>
      <c r="E1" s="13" t="s">
        <v>48</v>
      </c>
    </row>
    <row r="2">
      <c r="A2" s="14"/>
      <c r="B2" s="15"/>
      <c r="C2" s="15"/>
      <c r="D2" s="15"/>
      <c r="E2" s="16" t="s">
        <v>560</v>
      </c>
    </row>
    <row r="3">
      <c r="A3" s="14">
        <v>1.0</v>
      </c>
      <c r="B3" s="15" t="s">
        <v>561</v>
      </c>
      <c r="C3" s="15" t="s">
        <v>562</v>
      </c>
      <c r="D3" s="15" t="s">
        <v>51</v>
      </c>
      <c r="E3" s="16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table_name='payment' ;")</f>
        <v>INSERT INTO system_parameters.business_fields(
        table_id, field_name, field_type, description, is_primary_key)
        SELECT table_id, 'payment_id','SERIAL', 'ID giao dịch thanh toán (duy nhất)', true FROM system_parameters.business_tables WHERE table_name='payment' ;</v>
      </c>
    </row>
    <row r="4">
      <c r="A4" s="14">
        <f t="shared" ref="A4:A8" si="1">A3+1</f>
        <v>2</v>
      </c>
      <c r="B4" s="15" t="s">
        <v>563</v>
      </c>
      <c r="C4" s="15" t="s">
        <v>564</v>
      </c>
      <c r="D4" s="15" t="s">
        <v>565</v>
      </c>
      <c r="E4" s="10" t="str">
        <f>CONCATENATE("INSERT INTO system_parameters.business_fields(
        table_id, field_name, field_type, description)
        SELECT table_id, '",SUBSTITUTE(C4, " ", "_"),"','",D4,"', '",B4,"' FROM system_parameters.business_tables WHERE table_name='payment' ;")</f>
        <v>INSERT INTO system_parameters.business_fields(
        table_id, field_name, field_type, description)
        SELECT table_id, 'amount','DECIMAL(10, 2)', 'Số tiền thanh toán' FROM system_parameters.business_tables WHERE table_name='payment' ;</v>
      </c>
    </row>
    <row r="5">
      <c r="A5" s="14">
        <f t="shared" si="1"/>
        <v>3</v>
      </c>
      <c r="B5" s="15" t="s">
        <v>265</v>
      </c>
      <c r="C5" s="15" t="s">
        <v>181</v>
      </c>
      <c r="D5" s="15" t="s">
        <v>51</v>
      </c>
      <c r="E5" s="10" t="str">
        <f>CONCATENATE("INSERT INTO system_parameters.business_fields(
        table_id, field_name, field_type, description, is_foreign_key, referenced_table_id, referenced_field_id)
        SELECT a.table_id, '",SUBSTITUTE(C5, " ", "_"),"','",D5,"', '",B5,"', true, b.table_id, c.field_id FROM system_parameters.business_tables a, system_parameters.business_tables b, system_parameters.business_fields c WHERE a.table_name='payment' and b.table_name='subscription' and b.table_id=c.table_id and c.is_primary_key="&amp;"true;")</f>
        <v>INSERT INTO system_parameters.business_fields(
        table_id, field_name, field_type, description, is_foreign_key, referenced_table_id, referenced_field_id)
        SELECT a.table_id, 'subscription_id','SERIAL', 'Tên gói dịch vụ', true, b.table_id, c.field_id FROM system_parameters.business_tables a, system_parameters.business_tables b, system_parameters.business_fields c WHERE a.table_name='payment' and b.table_name='subscription' and b.table_id=c.table_id and c.is_primary_key=true;</v>
      </c>
    </row>
    <row r="6">
      <c r="A6" s="14">
        <f t="shared" si="1"/>
        <v>4</v>
      </c>
      <c r="B6" s="15" t="s">
        <v>566</v>
      </c>
      <c r="C6" s="15" t="s">
        <v>567</v>
      </c>
      <c r="D6" s="15" t="s">
        <v>51</v>
      </c>
      <c r="E6" s="10" t="str">
        <f>CONCATENATE("INSERT INTO system_parameters.business_fields(
        table_id, field_name, field_type, description, is_foreign_key, referenced_table_id, referenced_field_id)
        SELECT a.table_id, '",SUBSTITUTE(C6, " ", "_"),"','",D6,"', '",B6,"', true, b.table_id, c.field_id FROM system_parameters.business_tables a, system_parameters.business_tables b, system_parameters.business_fields c WHERE a.table_name='payment' and b.table_name='user_payment_method' and b.table_id=c.table_id and c.is_prima"&amp;"ry_key=true;")</f>
        <v>INSERT INTO system_parameters.business_fields(
        table_id, field_name, field_type, description, is_foreign_key, referenced_table_id, referenced_field_id)
        SELECT a.table_id, 'user_payment_method_id','SERIAL', 'Tên phương thức thanh toán của người sử dụng', true, b.table_id, c.field_id FROM system_parameters.business_tables a, system_parameters.business_tables b, system_parameters.business_fields c WHERE a.table_name='payment' and b.table_name='user_payment_method' and b.table_id=c.table_id and c.is_primary_key=true;</v>
      </c>
    </row>
    <row r="7">
      <c r="A7" s="14">
        <f t="shared" si="1"/>
        <v>5</v>
      </c>
      <c r="B7" s="15" t="s">
        <v>568</v>
      </c>
      <c r="C7" s="15" t="s">
        <v>569</v>
      </c>
      <c r="D7" s="15" t="s">
        <v>119</v>
      </c>
      <c r="E7" s="10" t="str">
        <f t="shared" ref="E7:E8" si="2">CONCATENATE("INSERT INTO system_parameters.business_fields(
        table_id, field_name, field_type, description)
        SELECT table_id, '",SUBSTITUTE(C7, " ", "_"),"','",D7,"', '",B7,"' FROM system_parameters.business_tables WHERE table_name='payment' ;")</f>
        <v>INSERT INTO system_parameters.business_fields(
        table_id, field_name, field_type, description)
        SELECT table_id, 'payment_date','TIMESTAMP', 'Ngày thực hiện giao dịch' FROM system_parameters.business_tables WHERE table_name='payment' ;</v>
      </c>
    </row>
    <row r="8">
      <c r="A8" s="14">
        <f t="shared" si="1"/>
        <v>6</v>
      </c>
      <c r="B8" s="15" t="s">
        <v>570</v>
      </c>
      <c r="C8" s="15" t="s">
        <v>105</v>
      </c>
      <c r="D8" s="15" t="s">
        <v>81</v>
      </c>
      <c r="E8" s="10" t="str">
        <f t="shared" si="2"/>
        <v>INSERT INTO system_parameters.business_fields(
        table_id, field_name, field_type, description)
        SELECT table_id, 'status','VARCHAR(50)', 'Trạng thái thanh toán (e.g., pending, completed)' FROM system_parameters.business_tables WHERE table_name='payment' ;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20.88"/>
    <col customWidth="1" min="3" max="3" width="19.5"/>
    <col customWidth="1" min="4" max="4" width="24.13"/>
    <col customWidth="1" min="5" max="5" width="52.88"/>
  </cols>
  <sheetData>
    <row r="1">
      <c r="A1" s="11" t="s">
        <v>0</v>
      </c>
      <c r="B1" s="11" t="s">
        <v>45</v>
      </c>
      <c r="C1" s="12" t="s">
        <v>46</v>
      </c>
      <c r="D1" s="12" t="s">
        <v>47</v>
      </c>
      <c r="E1" s="13" t="s">
        <v>48</v>
      </c>
    </row>
    <row r="2">
      <c r="A2" s="14"/>
      <c r="B2" s="15"/>
      <c r="C2" s="15"/>
      <c r="D2" s="15"/>
      <c r="E2" s="16" t="s">
        <v>571</v>
      </c>
    </row>
    <row r="3">
      <c r="A3" s="14">
        <v>1.0</v>
      </c>
      <c r="B3" s="6" t="s">
        <v>572</v>
      </c>
      <c r="C3" s="6" t="s">
        <v>573</v>
      </c>
      <c r="D3" s="15" t="s">
        <v>51</v>
      </c>
      <c r="E3" s="16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table_name='security_company' ;")</f>
        <v>INSERT INTO system_parameters.business_fields(
        table_id, field_name, field_type, description, is_primary_key)
        SELECT table_id, 'security_company_id','SERIAL', 'ID duy nhất của công ty', true FROM system_parameters.business_tables WHERE table_name='security_company' ;</v>
      </c>
    </row>
    <row r="4">
      <c r="A4" s="14">
        <f t="shared" ref="A4:A7" si="1">A3+1</f>
        <v>2</v>
      </c>
      <c r="B4" s="6" t="s">
        <v>574</v>
      </c>
      <c r="C4" s="6" t="s">
        <v>155</v>
      </c>
      <c r="D4" s="15" t="s">
        <v>54</v>
      </c>
      <c r="E4" s="10" t="str">
        <f t="shared" ref="E4:E7" si="2">CONCATENATE("INSERT INTO system_parameters.business_fields(
        table_id, field_name, field_type, description)
        SELECT table_id, '",SUBSTITUTE(C4, " ", "_"),"','",D4,"', '",B4,"' FROM system_parameters.business_tables WHERE table_name='security_company' ;")</f>
        <v>INSERT INTO system_parameters.business_fields(
        table_id, field_name, field_type, description)
        SELECT table_id, 'name','VARCHAR(255)', 'Tên CTCK' FROM system_parameters.business_tables WHERE table_name='security_company' ;</v>
      </c>
    </row>
    <row r="5">
      <c r="A5" s="14">
        <f t="shared" si="1"/>
        <v>3</v>
      </c>
      <c r="B5" s="6" t="s">
        <v>575</v>
      </c>
      <c r="C5" s="6" t="s">
        <v>576</v>
      </c>
      <c r="D5" s="6" t="s">
        <v>577</v>
      </c>
      <c r="E5" s="10" t="str">
        <f t="shared" si="2"/>
        <v>INSERT INTO system_parameters.business_fields(
        table_id, field_name, field_type, description)
        SELECT table_id, 'code','VARCHAR(50) NOT NULL', 'Mã công ty' FROM system_parameters.business_tables WHERE table_name='security_company' ;</v>
      </c>
    </row>
    <row r="6">
      <c r="A6" s="14">
        <f t="shared" si="1"/>
        <v>4</v>
      </c>
      <c r="B6" s="6" t="s">
        <v>578</v>
      </c>
      <c r="C6" s="6" t="s">
        <v>157</v>
      </c>
      <c r="D6" s="6" t="s">
        <v>89</v>
      </c>
      <c r="E6" s="10" t="str">
        <f t="shared" si="2"/>
        <v>INSERT INTO system_parameters.business_fields(
        table_id, field_name, field_type, description)
        SELECT table_id, 'description','TEXT', 'Mô tả công ty' FROM system_parameters.business_tables WHERE table_name='security_company' ;</v>
      </c>
    </row>
    <row r="7">
      <c r="A7" s="14">
        <f t="shared" si="1"/>
        <v>5</v>
      </c>
      <c r="B7" s="6" t="s">
        <v>174</v>
      </c>
      <c r="C7" s="6" t="s">
        <v>118</v>
      </c>
      <c r="D7" s="6" t="s">
        <v>175</v>
      </c>
      <c r="E7" s="10" t="str">
        <f t="shared" si="2"/>
        <v>INSERT INTO system_parameters.business_fields(
        table_id, field_name, field_type, description)
        SELECT table_id, 'created_at','TIMESTAMP DEFAULT NOW()', 'Thời gian tạo' FROM system_parameters.business_tables WHERE table_name='security_company' ;</v>
      </c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33.25"/>
    <col customWidth="1" min="3" max="3" width="17.75"/>
    <col customWidth="1" min="4" max="4" width="24.0"/>
    <col customWidth="1" min="5" max="5" width="51.63"/>
  </cols>
  <sheetData>
    <row r="1">
      <c r="A1" s="11" t="s">
        <v>0</v>
      </c>
      <c r="B1" s="11" t="s">
        <v>45</v>
      </c>
      <c r="C1" s="12" t="s">
        <v>46</v>
      </c>
      <c r="D1" s="12" t="s">
        <v>47</v>
      </c>
      <c r="E1" s="13" t="s">
        <v>48</v>
      </c>
    </row>
    <row r="2">
      <c r="A2" s="14"/>
      <c r="B2" s="15"/>
      <c r="C2" s="15"/>
      <c r="D2" s="15"/>
      <c r="E2" s="16" t="s">
        <v>579</v>
      </c>
    </row>
    <row r="3">
      <c r="A3" s="14">
        <v>1.0</v>
      </c>
      <c r="B3" s="6" t="s">
        <v>580</v>
      </c>
      <c r="C3" s="6" t="s">
        <v>581</v>
      </c>
      <c r="D3" s="15" t="s">
        <v>51</v>
      </c>
      <c r="E3" s="16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table_name='endpoint' ;")</f>
        <v>INSERT INTO system_parameters.business_fields(
        table_id, field_name, field_type, description, is_primary_key)
        SELECT table_id, 'endpoint_id','SERIAL', 'ID duy nhất của endpoint', true FROM system_parameters.business_tables WHERE table_name='endpoint' ;</v>
      </c>
    </row>
    <row r="4">
      <c r="A4" s="14">
        <f t="shared" ref="A4:A8" si="1">A3+1</f>
        <v>2</v>
      </c>
      <c r="B4" s="6" t="s">
        <v>582</v>
      </c>
      <c r="C4" s="6" t="s">
        <v>155</v>
      </c>
      <c r="D4" s="6" t="s">
        <v>583</v>
      </c>
      <c r="E4" s="10" t="str">
        <f t="shared" ref="E4:E7" si="2">CONCATENATE("INSERT INTO system_parameters.business_fields(
        table_id, field_name, field_type, description)
        SELECT table_id, '",SUBSTITUTE(C4, " ", "_"),"','",D4,"', '",B4,"' FROM system_parameters.business_tables WHERE table_name='endpoint' ;")</f>
        <v>INSERT INTO system_parameters.business_fields(
        table_id, field_name, field_type, description)
        SELECT table_id, 'name','VARCHAR(255) NOT NULL', 'Tên Endpoint ' FROM system_parameters.business_tables WHERE table_name='endpoint' ;</v>
      </c>
    </row>
    <row r="5">
      <c r="A5" s="14">
        <f t="shared" si="1"/>
        <v>3</v>
      </c>
      <c r="B5" s="6" t="s">
        <v>584</v>
      </c>
      <c r="C5" s="6" t="s">
        <v>585</v>
      </c>
      <c r="D5" s="6" t="s">
        <v>264</v>
      </c>
      <c r="E5" s="10" t="str">
        <f t="shared" si="2"/>
        <v>INSERT INTO system_parameters.business_fields(
        table_id, field_name, field_type, description)
        SELECT table_id, 'url','TEXT NOT NULL', 'URL của endpoint' FROM system_parameters.business_tables WHERE table_name='endpoint' ;</v>
      </c>
    </row>
    <row r="6">
      <c r="A6" s="14">
        <f t="shared" si="1"/>
        <v>4</v>
      </c>
      <c r="B6" s="6" t="s">
        <v>586</v>
      </c>
      <c r="C6" s="6" t="s">
        <v>157</v>
      </c>
      <c r="D6" s="6" t="s">
        <v>89</v>
      </c>
      <c r="E6" s="10" t="str">
        <f t="shared" si="2"/>
        <v>INSERT INTO system_parameters.business_fields(
        table_id, field_name, field_type, description)
        SELECT table_id, 'description','TEXT', 'Mô tả endpoint' FROM system_parameters.business_tables WHERE table_name='endpoint' ;</v>
      </c>
    </row>
    <row r="7">
      <c r="A7" s="14">
        <f t="shared" si="1"/>
        <v>5</v>
      </c>
      <c r="B7" s="6" t="s">
        <v>174</v>
      </c>
      <c r="C7" s="6" t="s">
        <v>118</v>
      </c>
      <c r="D7" s="6" t="s">
        <v>175</v>
      </c>
      <c r="E7" s="10" t="str">
        <f t="shared" si="2"/>
        <v>INSERT INTO system_parameters.business_fields(
        table_id, field_name, field_type, description)
        SELECT table_id, 'created_at','TIMESTAMP DEFAULT NOW()', 'Thời gian tạo' FROM system_parameters.business_tables WHERE table_name='endpoint' ;</v>
      </c>
    </row>
    <row r="8">
      <c r="A8" s="14">
        <f t="shared" si="1"/>
        <v>6</v>
      </c>
      <c r="B8" s="6" t="s">
        <v>574</v>
      </c>
      <c r="C8" s="6" t="s">
        <v>573</v>
      </c>
      <c r="D8" s="15" t="s">
        <v>51</v>
      </c>
      <c r="E8" s="10" t="str">
        <f>CONCATENATE("INSERT INTO system_parameters.business_fields(
        table_id, field_name, field_type, description, is_foreign_key, referenced_table_id, referenced_field_id)
        SELECT a.table_id, '",SUBSTITUTE(C8, " ", "_"),"','",D8,"', '",B8,"', true, b.table_id, c.field_id FROM system_parameters.business_tables a, system_parameters.business_tables b, system_parameters.business_fields c WHERE a.table_name='endpoint' and b.table_name='security_company' and b.table_id=c.table_id and c.is_primary"&amp;"_key=true;")</f>
        <v>INSERT INTO system_parameters.business_fields(
        table_id, field_name, field_type, description, is_foreign_key, referenced_table_id, referenced_field_id)
        SELECT a.table_id, 'security_company_id','SERIAL', 'Tên CTCK', true, b.table_id, c.field_id FROM system_parameters.business_tables a, system_parameters.business_tables b, system_parameters.business_fields c WHERE a.table_name='endpoint' and b.table_name='security_company' and b.table_id=c.table_id and c.is_primary_key=true;</v>
      </c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40.75"/>
    <col customWidth="1" min="3" max="3" width="16.63"/>
    <col customWidth="1" min="4" max="4" width="24.13"/>
    <col customWidth="1" min="5" max="5" width="59.25"/>
  </cols>
  <sheetData>
    <row r="1">
      <c r="A1" s="11" t="s">
        <v>0</v>
      </c>
      <c r="B1" s="11" t="s">
        <v>45</v>
      </c>
      <c r="C1" s="12" t="s">
        <v>46</v>
      </c>
      <c r="D1" s="12" t="s">
        <v>47</v>
      </c>
      <c r="E1" s="13" t="s">
        <v>48</v>
      </c>
    </row>
    <row r="2">
      <c r="A2" s="14"/>
      <c r="B2" s="15"/>
      <c r="C2" s="15"/>
      <c r="D2" s="15"/>
      <c r="E2" s="16" t="s">
        <v>587</v>
      </c>
    </row>
    <row r="3">
      <c r="A3" s="14">
        <v>1.0</v>
      </c>
      <c r="B3" s="6" t="s">
        <v>588</v>
      </c>
      <c r="C3" s="6" t="s">
        <v>589</v>
      </c>
      <c r="D3" s="15" t="s">
        <v>51</v>
      </c>
      <c r="E3" s="16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table_name='api' ;")</f>
        <v>INSERT INTO system_parameters.business_fields(
        table_id, field_name, field_type, description, is_primary_key)
        SELECT table_id, 'api_id','SERIAL', 'ID duy nhất của API', true FROM system_parameters.business_tables WHERE table_name='api' ;</v>
      </c>
    </row>
    <row r="4">
      <c r="A4" s="14">
        <f t="shared" ref="A4:A9" si="1">A3+1</f>
        <v>2</v>
      </c>
      <c r="B4" s="6" t="s">
        <v>590</v>
      </c>
      <c r="C4" s="6" t="s">
        <v>591</v>
      </c>
      <c r="D4" s="6" t="s">
        <v>583</v>
      </c>
      <c r="E4" s="10" t="str">
        <f>CONCATENATE("INSERT INTO system_parameters.business_fields(
        table_id, field_name, field_type, description)
        SELECT table_id, '",SUBSTITUTE(C4, " ", "_"),"','",D4,"', '",B4,"' FROM system_parameters.business_tables WHERE table_name='api' ;")</f>
        <v>INSERT INTO system_parameters.business_fields(
        table_id, field_name, field_type, description)
        SELECT table_id, 'api_name','VARCHAR(255) NOT NULL', 'Tên API' FROM system_parameters.business_tables WHERE table_name='api' ;</v>
      </c>
    </row>
    <row r="5">
      <c r="A5" s="14">
        <f t="shared" si="1"/>
        <v>3</v>
      </c>
      <c r="B5" s="6" t="s">
        <v>592</v>
      </c>
      <c r="C5" s="6" t="s">
        <v>581</v>
      </c>
      <c r="D5" s="15" t="s">
        <v>51</v>
      </c>
      <c r="E5" s="10" t="str">
        <f>CONCATENATE("INSERT INTO system_parameters.business_fields(
        table_id, field_name, field_type, description, is_foreign_key, referenced_table_id, referenced_field_id)
        SELECT a.table_id, '",SUBSTITUTE(C5, " ", "_"),"','",D5,"', '",B5,"', true, b.table_id, c.field_id FROM system_parameters.business_tables a, system_parameters.business_tables b, system_parameters.business_fields c WHERE a.table_name='api' and b.table_name='endpoint' and b.table_id=c.table_id and c.is_primary_key=true;")</f>
        <v>INSERT INTO system_parameters.business_fields(
        table_id, field_name, field_type, description, is_foreign_key, referenced_table_id, referenced_field_id)
        SELECT a.table_id, 'endpoint_id','SERIAL', 'Tên Endpoint', true, b.table_id, c.field_id FROM system_parameters.business_tables a, system_parameters.business_tables b, system_parameters.business_fields c WHERE a.table_name='api' and b.table_name='endpoint' and b.table_id=c.table_id and c.is_primary_key=true;</v>
      </c>
    </row>
    <row r="6">
      <c r="A6" s="14">
        <f t="shared" si="1"/>
        <v>4</v>
      </c>
      <c r="B6" s="6" t="s">
        <v>593</v>
      </c>
      <c r="C6" s="6" t="s">
        <v>594</v>
      </c>
      <c r="D6" s="6" t="s">
        <v>470</v>
      </c>
      <c r="E6" s="10" t="str">
        <f t="shared" ref="E6:E9" si="2">CONCATENATE("INSERT INTO system_parameters.business_fields(
        table_id, field_name, field_type, description)
        SELECT table_id, '",SUBSTITUTE(C6, " ", "_"),"','",D6,"', '",B6,"' FROM system_parameters.business_tables WHERE table_name='api' ;")</f>
        <v>INSERT INTO system_parameters.business_fields(
        table_id, field_name, field_type, description)
        SELECT table_id, 'method','VARCHAR(10) NOT NULL', 'Phương thức HTTP' FROM system_parameters.business_tables WHERE table_name='api' ;</v>
      </c>
    </row>
    <row r="7">
      <c r="A7" s="14">
        <f t="shared" si="1"/>
        <v>5</v>
      </c>
      <c r="B7" s="6" t="s">
        <v>595</v>
      </c>
      <c r="C7" s="6" t="s">
        <v>585</v>
      </c>
      <c r="D7" s="6" t="s">
        <v>264</v>
      </c>
      <c r="E7" s="10" t="str">
        <f t="shared" si="2"/>
        <v>INSERT INTO system_parameters.business_fields(
        table_id, field_name, field_type, description)
        SELECT table_id, 'url','TEXT NOT NULL', 'URL tương đối của API' FROM system_parameters.business_tables WHERE table_name='api' ;</v>
      </c>
    </row>
    <row r="8">
      <c r="A8" s="14">
        <f t="shared" si="1"/>
        <v>6</v>
      </c>
      <c r="B8" s="6" t="s">
        <v>596</v>
      </c>
      <c r="C8" s="6" t="s">
        <v>157</v>
      </c>
      <c r="D8" s="6" t="s">
        <v>89</v>
      </c>
      <c r="E8" s="10" t="str">
        <f t="shared" si="2"/>
        <v>INSERT INTO system_parameters.business_fields(
        table_id, field_name, field_type, description)
        SELECT table_id, 'description','TEXT', 'Mô tả API' FROM system_parameters.business_tables WHERE table_name='api' ;</v>
      </c>
    </row>
    <row r="9">
      <c r="A9" s="14">
        <f t="shared" si="1"/>
        <v>7</v>
      </c>
      <c r="B9" s="6" t="s">
        <v>174</v>
      </c>
      <c r="C9" s="6" t="s">
        <v>118</v>
      </c>
      <c r="D9" s="6" t="s">
        <v>175</v>
      </c>
      <c r="E9" s="10" t="str">
        <f t="shared" si="2"/>
        <v>INSERT INTO system_parameters.business_fields(
        table_id, field_name, field_type, description)
        SELECT table_id, 'created_at','TIMESTAMP DEFAULT NOW()', 'Thời gian tạo' FROM system_parameters.business_tables WHERE table_name='api' ;</v>
      </c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25.38"/>
    <col customWidth="1" min="3" max="3" width="10.88"/>
    <col customWidth="1" min="4" max="4" width="43.0"/>
    <col customWidth="1" min="5" max="5" width="52.75"/>
  </cols>
  <sheetData>
    <row r="1">
      <c r="A1" s="11" t="s">
        <v>0</v>
      </c>
      <c r="B1" s="11" t="s">
        <v>45</v>
      </c>
      <c r="C1" s="12" t="s">
        <v>46</v>
      </c>
      <c r="D1" s="12" t="s">
        <v>47</v>
      </c>
      <c r="E1" s="13" t="s">
        <v>48</v>
      </c>
    </row>
    <row r="2">
      <c r="A2" s="14"/>
      <c r="B2" s="15"/>
      <c r="C2" s="15"/>
      <c r="D2" s="15"/>
      <c r="E2" s="16" t="s">
        <v>597</v>
      </c>
    </row>
    <row r="3">
      <c r="A3" s="14">
        <v>1.0</v>
      </c>
      <c r="B3" s="6" t="s">
        <v>598</v>
      </c>
      <c r="C3" s="6" t="s">
        <v>599</v>
      </c>
      <c r="D3" s="15" t="s">
        <v>51</v>
      </c>
      <c r="E3" s="16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table_name='api_parameter' ;")</f>
        <v>INSERT INTO system_parameters.business_fields(
        table_id, field_name, field_type, description, is_primary_key)
        SELECT table_id, 'param_id','SERIAL', 'ID duy nhất của tham số', true FROM system_parameters.business_tables WHERE table_name='api_parameter' ;</v>
      </c>
    </row>
    <row r="4">
      <c r="A4" s="14">
        <f t="shared" ref="A4:A8" si="1">A3+1</f>
        <v>2</v>
      </c>
      <c r="B4" s="6" t="s">
        <v>600</v>
      </c>
      <c r="C4" s="6" t="s">
        <v>601</v>
      </c>
      <c r="D4" s="6" t="s">
        <v>583</v>
      </c>
      <c r="E4" s="10" t="str">
        <f>CONCATENATE("INSERT INTO system_parameters.business_fields(
        table_id, field_name, field_type, description)
        SELECT table_id, '",SUBSTITUTE(C4, " ", "_"),"','",D4,"', '",B4,"' FROM system_parameters.business_tables WHERE table_name='api_parameter' ;")</f>
        <v>INSERT INTO system_parameters.business_fields(
        table_id, field_name, field_type, description)
        SELECT table_id, 'param_name','VARCHAR(255) NOT NULL', 'Tên tham số' FROM system_parameters.business_tables WHERE table_name='api_parameter' ;</v>
      </c>
    </row>
    <row r="5">
      <c r="A5" s="14">
        <f t="shared" si="1"/>
        <v>3</v>
      </c>
      <c r="B5" s="6" t="s">
        <v>590</v>
      </c>
      <c r="C5" s="6" t="s">
        <v>589</v>
      </c>
      <c r="D5" s="15" t="s">
        <v>51</v>
      </c>
      <c r="E5" s="10" t="str">
        <f>CONCATENATE("INSERT INTO system_parameters.business_fields(
        table_id, field_name, field_type, description, is_foreign_key, referenced_table_id, referenced_field_id)
        SELECT a.table_id, '",SUBSTITUTE(C5, " ", "_"),"','",D5,"', '",B5,"', true, b.table_id, c.field_id FROM system_parameters.business_tables a, system_parameters.business_tables b, system_parameters.business_fields c WHERE a.table_name='api_parameter' and b.table_name='api' and b.table_id=c.table_id and c.is_primary_key=tru"&amp;"e;")</f>
        <v>INSERT INTO system_parameters.business_fields(
        table_id, field_name, field_type, description, is_foreign_key, referenced_table_id, referenced_field_id)
        SELECT a.table_id, 'api_id','SERIAL', 'Tên API', true, b.table_id, c.field_id FROM system_parameters.business_tables a, system_parameters.business_tables b, system_parameters.business_fields c WHERE a.table_name='api_parameter' and b.table_name='api' and b.table_id=c.table_id and c.is_primary_key=true;</v>
      </c>
    </row>
    <row r="6">
      <c r="A6" s="14">
        <f t="shared" si="1"/>
        <v>4</v>
      </c>
      <c r="B6" s="6" t="s">
        <v>602</v>
      </c>
      <c r="C6" s="6" t="s">
        <v>603</v>
      </c>
      <c r="D6" s="6" t="s">
        <v>577</v>
      </c>
      <c r="E6" s="10" t="str">
        <f t="shared" ref="E6:E8" si="2">CONCATENATE("INSERT INTO system_parameters.business_fields(
        table_id, field_name, field_type, description)
        SELECT table_id, '",SUBSTITUTE(C6, " ", "_"),"','",D6,"', '",B6,"' FROM system_parameters.business_tables WHERE table_name='api_parameter' ;")</f>
        <v>INSERT INTO system_parameters.business_fields(
        table_id, field_name, field_type, description)
        SELECT table_id, 'param_type','VARCHAR(50) NOT NULL', 'Kiểu dữ liệu' FROM system_parameters.business_tables WHERE table_name='api_parameter' ;</v>
      </c>
    </row>
    <row r="7">
      <c r="A7" s="14">
        <f t="shared" si="1"/>
        <v>5</v>
      </c>
      <c r="B7" s="6" t="s">
        <v>604</v>
      </c>
      <c r="C7" s="6" t="s">
        <v>605</v>
      </c>
      <c r="D7" s="6" t="s">
        <v>606</v>
      </c>
      <c r="E7" s="10" t="str">
        <f t="shared" si="2"/>
        <v>INSERT INTO system_parameters.business_fields(
        table_id, field_name, field_type, description)
        SELECT table_id, 'is_required','BOOLEAN DEFAULT TRUE', 'Tham số có bắt buộc không' FROM system_parameters.business_tables WHERE table_name='api_parameter' ;</v>
      </c>
    </row>
    <row r="8">
      <c r="A8" s="14">
        <f t="shared" si="1"/>
        <v>6</v>
      </c>
      <c r="B8" s="6" t="s">
        <v>607</v>
      </c>
      <c r="C8" s="6" t="s">
        <v>157</v>
      </c>
      <c r="D8" s="6" t="s">
        <v>89</v>
      </c>
      <c r="E8" s="10" t="str">
        <f t="shared" si="2"/>
        <v>INSERT INTO system_parameters.business_fields(
        table_id, field_name, field_type, description)
        SELECT table_id, 'description','TEXT', 'Mô tả tham số' FROM system_parameters.business_tables WHERE table_name='api_parameter' ;</v>
      </c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19.5"/>
    <col customWidth="1" min="3" max="3" width="11.63"/>
    <col customWidth="1" min="4" max="4" width="12.38"/>
    <col customWidth="1" min="5" max="5" width="55.13"/>
  </cols>
  <sheetData>
    <row r="1">
      <c r="A1" s="11" t="s">
        <v>0</v>
      </c>
      <c r="B1" s="11" t="s">
        <v>45</v>
      </c>
      <c r="C1" s="12" t="s">
        <v>46</v>
      </c>
      <c r="D1" s="12" t="s">
        <v>47</v>
      </c>
      <c r="E1" s="13" t="s">
        <v>48</v>
      </c>
    </row>
    <row r="2">
      <c r="A2" s="14"/>
      <c r="B2" s="15"/>
      <c r="C2" s="15"/>
      <c r="D2" s="15"/>
      <c r="E2" s="16" t="s">
        <v>608</v>
      </c>
    </row>
    <row r="3">
      <c r="A3" s="14">
        <v>1.0</v>
      </c>
      <c r="B3" s="6" t="s">
        <v>609</v>
      </c>
      <c r="C3" s="6" t="s">
        <v>610</v>
      </c>
      <c r="D3" s="15" t="s">
        <v>51</v>
      </c>
      <c r="E3" s="16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table_name='api_response' ;")</f>
        <v>INSERT INTO system_parameters.business_fields(
        table_id, field_name, field_type, description, is_primary_key)
        SELECT table_id, 'response_id','SERIAL', 'ID duy nhất của phản hồi', true FROM system_parameters.business_tables WHERE table_name='api_response' ;</v>
      </c>
    </row>
    <row r="4">
      <c r="A4" s="14">
        <f t="shared" ref="A4:A7" si="1">A3+1</f>
        <v>2</v>
      </c>
      <c r="B4" s="6" t="s">
        <v>611</v>
      </c>
      <c r="C4" s="6" t="s">
        <v>576</v>
      </c>
      <c r="D4" s="6" t="s">
        <v>268</v>
      </c>
      <c r="E4" s="10" t="str">
        <f>CONCATENATE("INSERT INTO system_parameters.business_fields(
        table_id, field_name, field_type, description)
        SELECT table_id, '",SUBSTITUTE(C4, " ", "_"),"','",D4,"', '",B4,"' FROM system_parameters.business_tables WHERE table_name='api_response' ;")</f>
        <v>INSERT INTO system_parameters.business_fields(
        table_id, field_name, field_type, description)
        SELECT table_id, 'code','INT NOT NULL', 'Mã phản hồi' FROM system_parameters.business_tables WHERE table_name='api_response' ;</v>
      </c>
    </row>
    <row r="5">
      <c r="A5" s="14">
        <f t="shared" si="1"/>
        <v>3</v>
      </c>
      <c r="B5" s="6" t="s">
        <v>590</v>
      </c>
      <c r="C5" s="6" t="s">
        <v>589</v>
      </c>
      <c r="D5" s="15" t="s">
        <v>51</v>
      </c>
      <c r="E5" s="10" t="str">
        <f>CONCATENATE("INSERT INTO system_parameters.business_fields(
        table_id, field_name, field_type, description, is_foreign_key, referenced_table_id, referenced_field_id)
        SELECT a.table_id, '",SUBSTITUTE(C5, " ", "_"),"','",D5,"', '",B5,"', true, b.table_id, c.field_id FROM system_parameters.business_tables a, system_parameters.business_tables b, system_parameters.business_fields c WHERE a.table_name='api_response' and b.table_name='api' and b.table_id=c.table_id and c.is_primary_key=true"&amp;";")</f>
        <v>INSERT INTO system_parameters.business_fields(
        table_id, field_name, field_type, description, is_foreign_key, referenced_table_id, referenced_field_id)
        SELECT a.table_id, 'api_id','SERIAL', 'Tên API', true, b.table_id, c.field_id FROM system_parameters.business_tables a, system_parameters.business_tables b, system_parameters.business_fields c WHERE a.table_name='api_response' and b.table_name='api' and b.table_id=c.table_id and c.is_primary_key=true;</v>
      </c>
    </row>
    <row r="6">
      <c r="A6" s="14">
        <f t="shared" si="1"/>
        <v>4</v>
      </c>
      <c r="B6" s="6" t="s">
        <v>612</v>
      </c>
      <c r="C6" s="6" t="s">
        <v>157</v>
      </c>
      <c r="D6" s="6" t="s">
        <v>89</v>
      </c>
      <c r="E6" s="10" t="str">
        <f t="shared" ref="E6:E7" si="2">CONCATENATE("INSERT INTO system_parameters.business_fields(
        table_id, field_name, field_type, description)
        SELECT table_id, '",SUBSTITUTE(C6, " ", "_"),"','",D6,"', '",B6,"' FROM system_parameters.business_tables WHERE table_name='api_response' ;")</f>
        <v>INSERT INTO system_parameters.business_fields(
        table_id, field_name, field_type, description)
        SELECT table_id, 'description','TEXT', 'Mô tả mã phản hồi' FROM system_parameters.business_tables WHERE table_name='api_response' ;</v>
      </c>
    </row>
    <row r="7">
      <c r="A7" s="14">
        <f t="shared" si="1"/>
        <v>5</v>
      </c>
      <c r="B7" s="6" t="s">
        <v>613</v>
      </c>
      <c r="C7" s="6" t="s">
        <v>614</v>
      </c>
      <c r="D7" s="6" t="s">
        <v>124</v>
      </c>
      <c r="E7" s="10" t="str">
        <f t="shared" si="2"/>
        <v>INSERT INTO system_parameters.business_fields(
        table_id, field_name, field_type, description)
        SELECT table_id, 'format','JSONB', 'format phản hồi' FROM system_parameters.business_tables WHERE table_name='api_response' ;</v>
      </c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7.25"/>
    <col customWidth="1" min="3" max="3" width="11.63"/>
    <col customWidth="1" min="4" max="4" width="20.63"/>
    <col customWidth="1" min="5" max="5" width="44.0"/>
  </cols>
  <sheetData>
    <row r="1">
      <c r="A1" s="11" t="s">
        <v>0</v>
      </c>
      <c r="B1" s="11" t="s">
        <v>45</v>
      </c>
      <c r="C1" s="12" t="s">
        <v>46</v>
      </c>
      <c r="D1" s="12" t="s">
        <v>47</v>
      </c>
      <c r="E1" s="13" t="s">
        <v>48</v>
      </c>
    </row>
    <row r="2">
      <c r="A2" s="14"/>
      <c r="B2" s="15"/>
      <c r="C2" s="15"/>
      <c r="D2" s="15"/>
      <c r="E2" s="16" t="s">
        <v>615</v>
      </c>
    </row>
    <row r="3">
      <c r="A3" s="14">
        <v>1.0</v>
      </c>
      <c r="B3" s="6" t="s">
        <v>616</v>
      </c>
      <c r="C3" s="6" t="s">
        <v>617</v>
      </c>
      <c r="D3" s="15" t="s">
        <v>51</v>
      </c>
      <c r="E3" s="16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table_name='api_error' ;")</f>
        <v>INSERT INTO system_parameters.business_fields(
        table_id, field_name, field_type, description, is_primary_key)
        SELECT table_id, 'error_id','SERIAL', 'ID duy nhất của lỗi', true FROM system_parameters.business_tables WHERE table_name='api_error' ;</v>
      </c>
    </row>
    <row r="4">
      <c r="A4" s="14">
        <f t="shared" ref="A4:A7" si="1">A3+1</f>
        <v>2</v>
      </c>
      <c r="B4" s="6" t="s">
        <v>618</v>
      </c>
      <c r="C4" s="6" t="s">
        <v>576</v>
      </c>
      <c r="D4" s="6" t="s">
        <v>577</v>
      </c>
      <c r="E4" s="10" t="str">
        <f>CONCATENATE("INSERT INTO system_parameters.business_fields(
        table_id, field_name, field_type, description)
        SELECT table_id, '",SUBSTITUTE(C4, " ", "_"),"','",D4,"', '",B4,"' FROM system_parameters.business_tables WHERE table_name='api_error' ;")</f>
        <v>INSERT INTO system_parameters.business_fields(
        table_id, field_name, field_type, description)
        SELECT table_id, 'code','VARCHAR(50) NOT NULL', 'Mã lỗi' FROM system_parameters.business_tables WHERE table_name='api_error' ;</v>
      </c>
    </row>
    <row r="5">
      <c r="A5" s="14">
        <f t="shared" si="1"/>
        <v>3</v>
      </c>
      <c r="B5" s="6" t="s">
        <v>590</v>
      </c>
      <c r="C5" s="6" t="s">
        <v>589</v>
      </c>
      <c r="D5" s="15" t="s">
        <v>51</v>
      </c>
      <c r="E5" s="10" t="str">
        <f>CONCATENATE("INSERT INTO system_parameters.business_fields(
        table_id, field_name, field_type, description, is_foreign_key, referenced_table_id, referenced_field_id)
        SELECT a.table_id, '",SUBSTITUTE(C5, " ", "_"),"','",D5,"', '",B5,"', true, b.table_id, c.field_id FROM system_parameters.business_tables a, system_parameters.business_tables b, system_parameters.business_fields c WHERE a.table_name='api_error' and b.table_name='api' and b.table_id=c.table_id and c.is_primary_key=true;")</f>
        <v>INSERT INTO system_parameters.business_fields(
        table_id, field_name, field_type, description, is_foreign_key, referenced_table_id, referenced_field_id)
        SELECT a.table_id, 'api_id','SERIAL', 'Tên API', true, b.table_id, c.field_id FROM system_parameters.business_tables a, system_parameters.business_tables b, system_parameters.business_fields c WHERE a.table_name='api_error' and b.table_name='api' and b.table_id=c.table_id and c.is_primary_key=true;</v>
      </c>
    </row>
    <row r="6">
      <c r="A6" s="14">
        <f t="shared" si="1"/>
        <v>4</v>
      </c>
      <c r="B6" s="6" t="s">
        <v>619</v>
      </c>
      <c r="C6" s="6" t="s">
        <v>620</v>
      </c>
      <c r="D6" s="6" t="s">
        <v>89</v>
      </c>
      <c r="E6" s="10" t="str">
        <f t="shared" ref="E6:E7" si="2">CONCATENATE("INSERT INTO system_parameters.business_fields(
        table_id, field_name, field_type, description)
        SELECT table_id, '",SUBSTITUTE(C6, " ", "_"),"','",D6,"', '",B6,"' FROM system_parameters.business_tables WHERE table_name='api_error' ;")</f>
        <v>INSERT INTO system_parameters.business_fields(
        table_id, field_name, field_type, description)
        SELECT table_id, 'message','TEXT', 'Mô tả lỗi' FROM system_parameters.business_tables WHERE table_name='api_error' ;</v>
      </c>
    </row>
    <row r="7">
      <c r="A7" s="14">
        <f t="shared" si="1"/>
        <v>5</v>
      </c>
      <c r="B7" s="6" t="s">
        <v>621</v>
      </c>
      <c r="C7" s="6" t="s">
        <v>622</v>
      </c>
      <c r="D7" s="6" t="s">
        <v>89</v>
      </c>
      <c r="E7" s="10" t="str">
        <f t="shared" si="2"/>
        <v>INSERT INTO system_parameters.business_fields(
        table_id, field_name, field_type, description)
        SELECT table_id, 'case','TEXT', 'Trường hợp xảy ra lỗi' FROM system_parameters.business_tables WHERE table_name='api_error' ;</v>
      </c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19.5"/>
    <col customWidth="1" min="3" max="3" width="16.63"/>
    <col customWidth="1" min="4" max="4" width="24.0"/>
    <col customWidth="1" min="5" max="5" width="49.63"/>
  </cols>
  <sheetData>
    <row r="1">
      <c r="A1" s="11" t="s">
        <v>0</v>
      </c>
      <c r="B1" s="11" t="s">
        <v>45</v>
      </c>
      <c r="C1" s="12" t="s">
        <v>46</v>
      </c>
      <c r="D1" s="12" t="s">
        <v>47</v>
      </c>
      <c r="E1" s="13" t="s">
        <v>48</v>
      </c>
    </row>
    <row r="2">
      <c r="A2" s="14"/>
      <c r="B2" s="15"/>
      <c r="C2" s="15"/>
      <c r="D2" s="15"/>
      <c r="E2" s="16" t="s">
        <v>623</v>
      </c>
    </row>
    <row r="3">
      <c r="A3" s="14">
        <v>1.0</v>
      </c>
      <c r="B3" s="6" t="s">
        <v>624</v>
      </c>
      <c r="C3" s="6" t="s">
        <v>625</v>
      </c>
      <c r="D3" s="15" t="s">
        <v>51</v>
      </c>
      <c r="E3" s="16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table_name='user_auth' ;")</f>
        <v>INSERT INTO system_parameters.business_fields(
        table_id, field_name, field_type, description, is_primary_key)
        SELECT table_id, 'user_auth_id','SERIAL', 'ID duy nhất của cấu hình', true FROM system_parameters.business_tables WHERE table_name='user_auth' ;</v>
      </c>
    </row>
    <row r="4">
      <c r="A4" s="14">
        <f t="shared" ref="A4:A7" si="1">A3+1</f>
        <v>2</v>
      </c>
      <c r="B4" s="6" t="s">
        <v>626</v>
      </c>
      <c r="C4" s="6" t="s">
        <v>627</v>
      </c>
      <c r="D4" s="6" t="s">
        <v>628</v>
      </c>
      <c r="E4" s="10" t="str">
        <f>CONCATENATE("INSERT INTO system_parameters.business_fields(
        table_id, field_name, field_type, description)
        SELECT table_id, '",SUBSTITUTE(C4, " ", "_"),"','",D4,"', '",B4,"' FROM system_parameters.business_tables WHERE table_name='user_auth' ;")</f>
        <v>INSERT INTO system_parameters.business_fields(
        table_id, field_name, field_type, description)
        SELECT table_id, 'auth_data','JSONB NOT NULL', 'Dữ liệu xác thực' FROM system_parameters.business_tables WHERE table_name='user_auth' ;</v>
      </c>
    </row>
    <row r="5">
      <c r="A5" s="14">
        <f t="shared" si="1"/>
        <v>3</v>
      </c>
      <c r="B5" s="6" t="s">
        <v>629</v>
      </c>
      <c r="C5" s="6" t="s">
        <v>83</v>
      </c>
      <c r="D5" s="15" t="s">
        <v>51</v>
      </c>
      <c r="E5" s="10" t="str">
        <f>CONCATENATE("INSERT INTO system_parameters.business_fields(
        table_id, field_name, field_type, description, is_foreign_key, referenced_table_id, referenced_field_id)
        SELECT a.table_id, '",SUBSTITUTE(C5, " ", "_"),"','",D5,"', '",B5,"', true, b.table_id, c.field_id FROM system_parameters.business_tables a, system_parameters.business_tables b, system_parameters.business_fields c WHERE a.table_name='user_auth' and b.table_name='user' and b.table_id=c.table_id and c.is_primary_key=true;")</f>
        <v>INSERT INTO system_parameters.business_fields(
        table_id, field_name, field_type, description, is_foreign_key, referenced_table_id, referenced_field_id)
        SELECT a.table_id, 'user_id','SERIAL', 'Tên leader/follower', true, b.table_id, c.field_id FROM system_parameters.business_tables a, system_parameters.business_tables b, system_parameters.business_fields c WHERE a.table_name='user_auth' and b.table_name='user' and b.table_id=c.table_id and c.is_primary_key=true;</v>
      </c>
    </row>
    <row r="6">
      <c r="A6" s="14">
        <f t="shared" si="1"/>
        <v>4</v>
      </c>
      <c r="B6" s="6" t="s">
        <v>574</v>
      </c>
      <c r="C6" s="6" t="s">
        <v>573</v>
      </c>
      <c r="D6" s="15" t="s">
        <v>51</v>
      </c>
      <c r="E6" s="10" t="str">
        <f>CONCATENATE("INSERT INTO system_parameters.business_fields(
        table_id, field_name, field_type, description, is_foreign_key, referenced_table_id, referenced_field_id)
        SELECT a.table_id, '",SUBSTITUTE(C6, " ", "_"),"','",D6,"', '",B6,"', true, b.table_id, c.field_id FROM system_parameters.business_tables a, system_parameters.business_tables b, system_parameters.business_fields c WHERE a.table_name='user_auth' and b.table_name='security_company' and b.table_id=c.table_id and c.is_primar"&amp;"y_key=true;")</f>
        <v>INSERT INTO system_parameters.business_fields(
        table_id, field_name, field_type, description, is_foreign_key, referenced_table_id, referenced_field_id)
        SELECT a.table_id, 'security_company_id','SERIAL', 'Tên CTCK', true, b.table_id, c.field_id FROM system_parameters.business_tables a, system_parameters.business_tables b, system_parameters.business_fields c WHERE a.table_name='user_auth' and b.table_name='security_company' and b.table_id=c.table_id and c.is_primary_key=true;</v>
      </c>
    </row>
    <row r="7">
      <c r="A7" s="14">
        <f t="shared" si="1"/>
        <v>5</v>
      </c>
      <c r="B7" s="6" t="s">
        <v>630</v>
      </c>
      <c r="C7" s="6" t="s">
        <v>161</v>
      </c>
      <c r="D7" s="6" t="s">
        <v>175</v>
      </c>
      <c r="E7" s="10" t="str">
        <f>CONCATENATE("INSERT INTO system_parameters.business_fields(
        table_id, field_name, field_type, description)
        SELECT table_id, '",SUBSTITUTE(C7, " ", "_"),"','",D7,"', '",B7,"' FROM system_parameters.business_tables WHERE table_name='user_auth' ;")</f>
        <v>INSERT INTO system_parameters.business_fields(
        table_id, field_name, field_type, description)
        SELECT table_id, 'updated_at','TIMESTAMP DEFAULT NOW()', 'Thời gian cập nhật' FROM system_parameters.business_tables WHERE table_name='user_auth' ;</v>
      </c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18.63"/>
    <col customWidth="1" min="3" max="3" width="15.13"/>
    <col customWidth="1" min="4" max="4" width="24.0"/>
    <col customWidth="1" min="5" max="5" width="45.5"/>
  </cols>
  <sheetData>
    <row r="1">
      <c r="A1" s="11" t="s">
        <v>0</v>
      </c>
      <c r="B1" s="11" t="s">
        <v>45</v>
      </c>
      <c r="C1" s="12" t="s">
        <v>46</v>
      </c>
      <c r="D1" s="12" t="s">
        <v>47</v>
      </c>
      <c r="E1" s="13" t="s">
        <v>48</v>
      </c>
    </row>
    <row r="2">
      <c r="A2" s="14"/>
      <c r="B2" s="15"/>
      <c r="C2" s="15"/>
      <c r="D2" s="15"/>
      <c r="E2" s="16" t="s">
        <v>631</v>
      </c>
    </row>
    <row r="3">
      <c r="A3" s="14">
        <v>1.0</v>
      </c>
      <c r="B3" s="6" t="s">
        <v>632</v>
      </c>
      <c r="C3" s="6" t="s">
        <v>633</v>
      </c>
      <c r="D3" s="15" t="s">
        <v>51</v>
      </c>
      <c r="E3" s="16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table_name='api_log' ;")</f>
        <v>INSERT INTO system_parameters.business_fields(
        table_id, field_name, field_type, description, is_primary_key)
        SELECT table_id, 'log_id','SERIAL', 'ID duy nhất của log', true FROM system_parameters.business_tables WHERE table_name='api_log' ;</v>
      </c>
    </row>
    <row r="4">
      <c r="A4" s="14">
        <f t="shared" ref="A4:A10" si="1">A3+1</f>
        <v>2</v>
      </c>
      <c r="B4" s="6" t="s">
        <v>634</v>
      </c>
      <c r="C4" s="6" t="s">
        <v>635</v>
      </c>
      <c r="D4" s="6" t="s">
        <v>175</v>
      </c>
      <c r="E4" s="10" t="str">
        <f>CONCATENATE("INSERT INTO system_parameters.business_fields(
        table_id, field_name, field_type, description)
        SELECT table_id, '",SUBSTITUTE(C4, " ", "_"),"','",D4,"', '",B4,"' FROM system_parameters.business_tables WHERE table_name='api_log' ;")</f>
        <v>INSERT INTO system_parameters.business_fields(
        table_id, field_name, field_type, description)
        SELECT table_id, 'called_at','TIMESTAMP DEFAULT NOW()', 'Thời gian gọi API' FROM system_parameters.business_tables WHERE table_name='api_log' ;</v>
      </c>
    </row>
    <row r="5">
      <c r="A5" s="14">
        <f t="shared" si="1"/>
        <v>3</v>
      </c>
      <c r="B5" s="6" t="s">
        <v>629</v>
      </c>
      <c r="C5" s="6" t="s">
        <v>83</v>
      </c>
      <c r="D5" s="15" t="s">
        <v>51</v>
      </c>
      <c r="E5" s="10" t="str">
        <f>CONCATENATE("INSERT INTO system_parameters.business_fields(
        table_id, field_name, field_type, description, is_foreign_key, referenced_table_id, referenced_field_id)
        SELECT a.table_id, '",SUBSTITUTE(C5, " ", "_"),"','",D5,"', '",B5,"', true, b.table_id, c.field_id FROM system_parameters.business_tables a, system_parameters.business_tables b, system_parameters.business_fields c WHERE a.table_name='api_log' and b.table_name='user' and b.table_id=c.table_id and c.is_primary_key=true;")</f>
        <v>INSERT INTO system_parameters.business_fields(
        table_id, field_name, field_type, description, is_foreign_key, referenced_table_id, referenced_field_id)
        SELECT a.table_id, 'user_id','SERIAL', 'Tên leader/follower', true, b.table_id, c.field_id FROM system_parameters.business_tables a, system_parameters.business_tables b, system_parameters.business_fields c WHERE a.table_name='api_log' and b.table_name='user' and b.table_id=c.table_id and c.is_primary_key=true;</v>
      </c>
    </row>
    <row r="6">
      <c r="A6" s="14">
        <f t="shared" si="1"/>
        <v>4</v>
      </c>
      <c r="B6" s="6" t="s">
        <v>636</v>
      </c>
      <c r="C6" s="6" t="s">
        <v>589</v>
      </c>
      <c r="E6" s="10" t="str">
        <f>CONCATENATE("INSERT INTO system_parameters.business_fields(
        table_id, field_name, field_type, description, is_foreign_key, referenced_table_id, referenced_field_id)
        SELECT a.table_id, '",SUBSTITUTE(C6, " ", "_"),"','",D6,"', '",B6,"', true, b.table_id, c.field_id FROM system_parameters.business_tables a, system_parameters.business_tables b, system_parameters.business_fields c WHERE a.table_name='api_log' and b.table_name='api' and b.table_id=c.table_id and c.is_primary_key=true;")</f>
        <v>INSERT INTO system_parameters.business_fields(
        table_id, field_name, field_type, description, is_foreign_key, referenced_table_id, referenced_field_id)
        SELECT a.table_id, 'api_id','', 'Liên kết với API', true, b.table_id, c.field_id FROM system_parameters.business_tables a, system_parameters.business_tables b, system_parameters.business_fields c WHERE a.table_name='api_log' and b.table_name='api' and b.table_id=c.table_id and c.is_primary_key=true;</v>
      </c>
    </row>
    <row r="7">
      <c r="A7" s="14">
        <f t="shared" si="1"/>
        <v>5</v>
      </c>
      <c r="B7" s="6" t="s">
        <v>637</v>
      </c>
      <c r="C7" s="6" t="s">
        <v>638</v>
      </c>
      <c r="D7" s="6" t="s">
        <v>106</v>
      </c>
      <c r="E7" s="10" t="str">
        <f t="shared" ref="E7:E10" si="2">CONCATENATE("INSERT INTO system_parameters.business_fields(
        table_id, field_name, field_type, description)
        SELECT table_id, '",SUBSTITUTE(C7, " ", "_"),"','",D7,"', '",B7,"' FROM system_parameters.business_tables WHERE table_name='api_log' ;")</f>
        <v>INSERT INTO system_parameters.business_fields(
        table_id, field_name, field_type, description)
        SELECT table_id, 'status_code','INT', 'Mã trạng thái HTTP' FROM system_parameters.business_tables WHERE table_name='api_log' ;</v>
      </c>
    </row>
    <row r="8">
      <c r="A8" s="14">
        <f t="shared" si="1"/>
        <v>6</v>
      </c>
      <c r="B8" s="6" t="s">
        <v>639</v>
      </c>
      <c r="C8" s="6" t="s">
        <v>640</v>
      </c>
      <c r="D8" s="6" t="s">
        <v>106</v>
      </c>
      <c r="E8" s="10" t="str">
        <f t="shared" si="2"/>
        <v>INSERT INTO system_parameters.business_fields(
        table_id, field_name, field_type, description)
        SELECT table_id, 'response_time_ms','INT', 'Thời gian phản hồi (ms)' FROM system_parameters.business_tables WHERE table_name='api_log' ;</v>
      </c>
    </row>
    <row r="9">
      <c r="A9" s="14">
        <f t="shared" si="1"/>
        <v>7</v>
      </c>
      <c r="B9" s="6" t="s">
        <v>641</v>
      </c>
      <c r="C9" s="6" t="s">
        <v>642</v>
      </c>
      <c r="D9" s="6" t="s">
        <v>124</v>
      </c>
      <c r="E9" s="10" t="str">
        <f t="shared" si="2"/>
        <v>INSERT INTO system_parameters.business_fields(
        table_id, field_name, field_type, description)
        SELECT table_id, 'request_payload','JSONB', 'Payload gửi đi' FROM system_parameters.business_tables WHERE table_name='api_log' ;</v>
      </c>
    </row>
    <row r="10">
      <c r="A10" s="14">
        <f t="shared" si="1"/>
        <v>8</v>
      </c>
      <c r="B10" s="6" t="s">
        <v>643</v>
      </c>
      <c r="C10" s="6" t="s">
        <v>644</v>
      </c>
      <c r="D10" s="6" t="s">
        <v>124</v>
      </c>
      <c r="E10" s="10" t="str">
        <f t="shared" si="2"/>
        <v>INSERT INTO system_parameters.business_fields(
        table_id, field_name, field_type, description)
        SELECT table_id, 'response_payload','JSONB', 'Payload phản hồi' FROM system_parameters.business_tables WHERE table_name='api_log' ;</v>
      </c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46.63"/>
    <col customWidth="1" min="3" max="3" width="11.63"/>
    <col customWidth="1" min="4" max="4" width="10.63"/>
    <col customWidth="1" min="5" max="5" width="63.25"/>
  </cols>
  <sheetData>
    <row r="1">
      <c r="A1" s="11" t="s">
        <v>0</v>
      </c>
      <c r="B1" s="11" t="s">
        <v>45</v>
      </c>
      <c r="C1" s="12" t="s">
        <v>46</v>
      </c>
      <c r="D1" s="12" t="s">
        <v>47</v>
      </c>
      <c r="E1" s="13" t="s">
        <v>48</v>
      </c>
    </row>
    <row r="2">
      <c r="A2" s="14"/>
      <c r="B2" s="15"/>
      <c r="C2" s="15"/>
      <c r="D2" s="15"/>
      <c r="E2" s="16" t="s">
        <v>645</v>
      </c>
    </row>
    <row r="3">
      <c r="A3" s="14">
        <v>1.0</v>
      </c>
      <c r="B3" s="6" t="s">
        <v>646</v>
      </c>
      <c r="C3" s="6" t="s">
        <v>647</v>
      </c>
      <c r="D3" s="15" t="s">
        <v>51</v>
      </c>
      <c r="E3" s="16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table_name='comment' ;")</f>
        <v>INSERT INTO system_parameters.business_fields(
        table_id, field_name, field_type, description, is_primary_key)
        SELECT table_id, 'comment_id','SERIAL', 'ID bình luận (duy nhất)', true FROM system_parameters.business_tables WHERE table_name='comment' ;</v>
      </c>
    </row>
    <row r="4">
      <c r="A4" s="14">
        <f t="shared" ref="A4:A9" si="1">A3+1</f>
        <v>2</v>
      </c>
      <c r="B4" s="6" t="s">
        <v>648</v>
      </c>
      <c r="C4" s="6" t="s">
        <v>255</v>
      </c>
      <c r="D4" s="6" t="s">
        <v>89</v>
      </c>
      <c r="E4" s="10" t="str">
        <f>CONCATENATE("INSERT INTO system_parameters.business_fields(
        table_id, field_name, field_type, description)
        SELECT table_id, '",SUBSTITUTE(C4, " ", "_"),"','",D4,"', '",B4,"' FROM system_parameters.business_tables WHERE table_name='comment' ;")</f>
        <v>INSERT INTO system_parameters.business_fields(
        table_id, field_name, field_type, description)
        SELECT table_id, 'content','TEXT', 'Nội dung bình luận' FROM system_parameters.business_tables WHERE table_name='comment' ;</v>
      </c>
    </row>
    <row r="5">
      <c r="A5" s="14">
        <f t="shared" si="1"/>
        <v>3</v>
      </c>
      <c r="B5" s="6" t="s">
        <v>629</v>
      </c>
      <c r="C5" s="6" t="s">
        <v>83</v>
      </c>
      <c r="D5" s="15" t="s">
        <v>51</v>
      </c>
      <c r="E5" s="10" t="str">
        <f>CONCATENATE("INSERT INTO system_parameters.business_fields(
        table_id, field_name, field_type, description, is_foreign_key, referenced_table_id, referenced_field_id)
        SELECT a.table_id, '",SUBSTITUTE(C5, " ", "_"),"','",D5,"', '",B5,"', true, b.table_id, c.field_id FROM system_parameters.business_tables a, system_parameters.business_tables b, system_parameters.business_fields c WHERE a.table_name='comment' and b.table_name='user' and b.table_id=c.table_id and c.is_primary_key=true;")</f>
        <v>INSERT INTO system_parameters.business_fields(
        table_id, field_name, field_type, description, is_foreign_key, referenced_table_id, referenced_field_id)
        SELECT a.table_id, 'user_id','SERIAL', 'Tên leader/follower', true, b.table_id, c.field_id FROM system_parameters.business_tables a, system_parameters.business_tables b, system_parameters.business_fields c WHERE a.table_name='comment' and b.table_name='user' and b.table_id=c.table_id and c.is_primary_key=true;</v>
      </c>
    </row>
    <row r="6">
      <c r="A6" s="14">
        <f t="shared" si="1"/>
        <v>4</v>
      </c>
      <c r="B6" s="6" t="s">
        <v>296</v>
      </c>
      <c r="C6" s="6" t="s">
        <v>275</v>
      </c>
      <c r="D6" s="15" t="s">
        <v>51</v>
      </c>
      <c r="E6" s="10" t="str">
        <f>CONCATENATE("INSERT INTO system_parameters.business_fields(
        table_id, field_name, field_type, description, is_foreign_key, referenced_table_id, referenced_field_id)
        SELECT a.table_id, '",SUBSTITUTE(C6, " ", "_"),"','",D6,"', '",B6,"', true, b.table_id, c.field_id FROM system_parameters.business_tables a, system_parameters.business_tables b, system_parameters.business_fields c WHERE a.table_name='comment' and b.table_name='afl' and b.table_id=c.table_id and c.is_primary_key=true;")</f>
        <v>INSERT INTO system_parameters.business_fields(
        table_id, field_name, field_type, description, is_foreign_key, referenced_table_id, referenced_field_id)
        SELECT a.table_id, 'afl_id','SERIAL', 'Tên thuật toán', true, b.table_id, c.field_id FROM system_parameters.business_tables a, system_parameters.business_tables b, system_parameters.business_fields c WHERE a.table_name='comment' and b.table_name='afl' and b.table_id=c.table_id and c.is_primary_key=true;</v>
      </c>
    </row>
    <row r="7">
      <c r="A7" s="14">
        <f t="shared" si="1"/>
        <v>5</v>
      </c>
      <c r="B7" s="6" t="s">
        <v>649</v>
      </c>
      <c r="C7" s="6" t="s">
        <v>650</v>
      </c>
      <c r="D7" s="15" t="s">
        <v>51</v>
      </c>
      <c r="E7" s="10" t="str">
        <f>CONCATENATE("INSERT INTO system_parameters.business_fields(
        table_id, field_name, field_type, description, is_foreign_key, referenced_table_id, referenced_field_id)
        SELECT a.table_id, '",SUBSTITUTE(C7, " ", "_"),"','",D7,"', '",B7,"', true, b.table_id, c.field_id FROM system_parameters.business_tables a, system_parameters.business_tables b, system_parameters.business_fields c WHERE a.table_name='comment' and b.table_name='comment' and b.table_id=c.table_id and c.is_primary_key=true;")</f>
        <v>INSERT INTO system_parameters.business_fields(
        table_id, field_name, field_type, description, is_foreign_key, referenced_table_id, referenced_field_id)
        SELECT a.table_id, 'parent_id','SERIAL', 'Tên bình luận cha', true, b.table_id, c.field_id FROM system_parameters.business_tables a, system_parameters.business_tables b, system_parameters.business_fields c WHERE a.table_name='comment' and b.table_name='comment' and b.table_id=c.table_id and c.is_primary_key=true;</v>
      </c>
    </row>
    <row r="8">
      <c r="A8" s="14">
        <f t="shared" si="1"/>
        <v>6</v>
      </c>
      <c r="B8" s="6" t="s">
        <v>651</v>
      </c>
      <c r="C8" s="6" t="s">
        <v>652</v>
      </c>
      <c r="D8" s="6" t="s">
        <v>106</v>
      </c>
      <c r="E8" s="10" t="str">
        <f t="shared" ref="E8:E9" si="2">CONCATENATE("INSERT INTO system_parameters.business_fields(
        table_id, field_name, field_type, description)
        SELECT table_id, '",SUBSTITUTE(C8, " ", "_"),"','",D8,"', '",B8,"' FROM system_parameters.business_tables WHERE table_name='comment' ;")</f>
        <v>INSERT INTO system_parameters.business_fields(
        table_id, field_name, field_type, description)
        SELECT table_id, 'level','INT', 'Cấp độ của comment (e.g., 0 là comment gốc, 1+ là reply)' FROM system_parameters.business_tables WHERE table_name='comment' ;</v>
      </c>
    </row>
    <row r="9">
      <c r="A9" s="14">
        <f t="shared" si="1"/>
        <v>7</v>
      </c>
      <c r="B9" s="6" t="s">
        <v>653</v>
      </c>
      <c r="C9" s="6" t="s">
        <v>118</v>
      </c>
      <c r="D9" s="6" t="s">
        <v>119</v>
      </c>
      <c r="E9" s="10" t="str">
        <f t="shared" si="2"/>
        <v>INSERT INTO system_parameters.business_fields(
        table_id, field_name, field_type, description)
        SELECT table_id, 'created_at','TIMESTAMP', 'Ngày tạo bình luận' FROM system_parameters.business_tables WHERE table_name='comment' ;</v>
      </c>
    </row>
  </sheetData>
  <drawing r:id="rId1"/>
</worksheet>
</file>